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Municípios" sheetId="1" r:id="rId4"/>
    <sheet state="visible" name="Estados" sheetId="2" r:id="rId5"/>
    <sheet state="visible" name="Planilha1" sheetId="3" r:id="rId6"/>
  </sheets>
  <definedNames/>
  <calcPr/>
  <extLst>
    <ext uri="GoogleSheetsCustomDataVersion2">
      <go:sheetsCustomData xmlns:go="http://customooxmlschemas.google.com/" r:id="rId7" roundtripDataChecksum="gWi+Srd8yg3I7y4+nHZtj9xHuJZhHnSPfH4kW/vVM14="/>
    </ext>
  </extLst>
</workbook>
</file>

<file path=xl/sharedStrings.xml><?xml version="1.0" encoding="utf-8"?>
<sst xmlns="http://schemas.openxmlformats.org/spreadsheetml/2006/main" count="419" uniqueCount="215">
  <si>
    <t>Região</t>
  </si>
  <si>
    <t xml:space="preserve">Estado </t>
  </si>
  <si>
    <t>Município</t>
  </si>
  <si>
    <t>UF</t>
  </si>
  <si>
    <t>Porte</t>
  </si>
  <si>
    <t>População</t>
  </si>
  <si>
    <t>Pop_rural</t>
  </si>
  <si>
    <t>CNES</t>
  </si>
  <si>
    <t>Km_capital</t>
  </si>
  <si>
    <t>Temp_capital</t>
  </si>
  <si>
    <t>Area_plant</t>
  </si>
  <si>
    <t>IPEA</t>
  </si>
  <si>
    <t>Cober_APS</t>
  </si>
  <si>
    <t>CASOS_MAMA</t>
  </si>
  <si>
    <t>CASOS_COLO</t>
  </si>
  <si>
    <t xml:space="preserve">TRAT_MAMA </t>
  </si>
  <si>
    <t>TRAT_COLO</t>
  </si>
  <si>
    <t>OBITO_MAMA</t>
  </si>
  <si>
    <t>OBITO_COLO</t>
  </si>
  <si>
    <t>Inc_mama</t>
  </si>
  <si>
    <t>Inc_colo</t>
  </si>
  <si>
    <t xml:space="preserve">Insatisfatorio_mama </t>
  </si>
  <si>
    <t>Insatisfatorio_colo</t>
  </si>
  <si>
    <t xml:space="preserve">Positividade_mama </t>
  </si>
  <si>
    <t>Positividade_colo</t>
  </si>
  <si>
    <t>Cobertura_citologia</t>
  </si>
  <si>
    <t>Cobertura_mamografia</t>
  </si>
  <si>
    <t>DensidadeUF_estab</t>
  </si>
  <si>
    <t>Mama_2019</t>
  </si>
  <si>
    <t>Mama_2020</t>
  </si>
  <si>
    <t>Mama_2021</t>
  </si>
  <si>
    <t>Mama_2022</t>
  </si>
  <si>
    <t>Mama_2023</t>
  </si>
  <si>
    <t>Mama_2024</t>
  </si>
  <si>
    <t>TratM_2019</t>
  </si>
  <si>
    <t>TratM_2020</t>
  </si>
  <si>
    <t>TratM_2021</t>
  </si>
  <si>
    <t>TratM_2022</t>
  </si>
  <si>
    <t>TratM_2023</t>
  </si>
  <si>
    <t>TratM_2024</t>
  </si>
  <si>
    <t>ÓbitoM_2019</t>
  </si>
  <si>
    <t>ÓbitoM_2020</t>
  </si>
  <si>
    <t>ÓbitoM_2021</t>
  </si>
  <si>
    <t>ÓbitoM_2022</t>
  </si>
  <si>
    <t>ÓbitoM_2023</t>
  </si>
  <si>
    <t>ÓbitoM_2024</t>
  </si>
  <si>
    <t>Colo_2019</t>
  </si>
  <si>
    <t>Colo_2020</t>
  </si>
  <si>
    <t>Colo_2021</t>
  </si>
  <si>
    <t>Colo_2022</t>
  </si>
  <si>
    <t>Colo_2023</t>
  </si>
  <si>
    <t>Colo_2024</t>
  </si>
  <si>
    <t>TratC_2019</t>
  </si>
  <si>
    <t>TratC_2020</t>
  </si>
  <si>
    <t>TratC_2021</t>
  </si>
  <si>
    <t>TratC_2022</t>
  </si>
  <si>
    <t>TratC_2023</t>
  </si>
  <si>
    <t>TratC_2024</t>
  </si>
  <si>
    <t>ÓbitoC_2019</t>
  </si>
  <si>
    <t>ÓbitoC_2020</t>
  </si>
  <si>
    <t>ÓbitoC_2021</t>
  </si>
  <si>
    <t>ÓbitoC_2022</t>
  </si>
  <si>
    <t>ÓbitoC_2023</t>
  </si>
  <si>
    <t>ÓbitoC_2024</t>
  </si>
  <si>
    <t>Norte</t>
  </si>
  <si>
    <t>Amazonas</t>
  </si>
  <si>
    <t xml:space="preserve">Tabatinga </t>
  </si>
  <si>
    <t xml:space="preserve"> AM</t>
  </si>
  <si>
    <t>Médio</t>
  </si>
  <si>
    <t>Pará</t>
  </si>
  <si>
    <t xml:space="preserve">Cametá </t>
  </si>
  <si>
    <t xml:space="preserve"> PA</t>
  </si>
  <si>
    <t>Tocantins</t>
  </si>
  <si>
    <t xml:space="preserve">Araguaína </t>
  </si>
  <si>
    <t xml:space="preserve"> TO</t>
  </si>
  <si>
    <t>Nordeste</t>
  </si>
  <si>
    <t>Maranhão</t>
  </si>
  <si>
    <t xml:space="preserve">Chapadinha </t>
  </si>
  <si>
    <t xml:space="preserve"> MA</t>
  </si>
  <si>
    <t>Ceará</t>
  </si>
  <si>
    <t xml:space="preserve">Iguatu </t>
  </si>
  <si>
    <t xml:space="preserve"> CE</t>
  </si>
  <si>
    <t>Rio Grande do Norte</t>
  </si>
  <si>
    <t xml:space="preserve">Mossoró </t>
  </si>
  <si>
    <t xml:space="preserve"> RN</t>
  </si>
  <si>
    <t>Pernambuco</t>
  </si>
  <si>
    <t xml:space="preserve">Serra Talhada </t>
  </si>
  <si>
    <t xml:space="preserve"> PE</t>
  </si>
  <si>
    <t xml:space="preserve">Petrolina </t>
  </si>
  <si>
    <t>Bahia</t>
  </si>
  <si>
    <t xml:space="preserve">Juazeiro </t>
  </si>
  <si>
    <t xml:space="preserve"> BA</t>
  </si>
  <si>
    <t xml:space="preserve">Teixeira de Freitas </t>
  </si>
  <si>
    <t>Centro-Oeste</t>
  </si>
  <si>
    <t>Mato Grosso do Sul</t>
  </si>
  <si>
    <t xml:space="preserve">Dourados </t>
  </si>
  <si>
    <t xml:space="preserve"> MS</t>
  </si>
  <si>
    <t>Mato Grosso</t>
  </si>
  <si>
    <t xml:space="preserve">Rondonópolis </t>
  </si>
  <si>
    <t xml:space="preserve"> MT</t>
  </si>
  <si>
    <t>Goiás</t>
  </si>
  <si>
    <t xml:space="preserve">Formosa </t>
  </si>
  <si>
    <t xml:space="preserve"> GO</t>
  </si>
  <si>
    <t>Sudeste</t>
  </si>
  <si>
    <t>Minas Gerais</t>
  </si>
  <si>
    <t xml:space="preserve">Muriaé </t>
  </si>
  <si>
    <t xml:space="preserve"> MG</t>
  </si>
  <si>
    <t>Rio de Janeiro</t>
  </si>
  <si>
    <t xml:space="preserve">Rio das Ostras </t>
  </si>
  <si>
    <t xml:space="preserve"> RJ</t>
  </si>
  <si>
    <t>São Paulo</t>
  </si>
  <si>
    <t xml:space="preserve">Sorocaba </t>
  </si>
  <si>
    <t xml:space="preserve"> SP</t>
  </si>
  <si>
    <t>Sul</t>
  </si>
  <si>
    <t>Paraná</t>
  </si>
  <si>
    <t xml:space="preserve">Cascavel </t>
  </si>
  <si>
    <t xml:space="preserve"> PR</t>
  </si>
  <si>
    <t>Santa Catarina</t>
  </si>
  <si>
    <t xml:space="preserve">Araranguá </t>
  </si>
  <si>
    <t xml:space="preserve"> SC</t>
  </si>
  <si>
    <t>Rio Grande do Sul</t>
  </si>
  <si>
    <t xml:space="preserve">Erechim </t>
  </si>
  <si>
    <t xml:space="preserve"> RS</t>
  </si>
  <si>
    <t xml:space="preserve">Benjamin Constant </t>
  </si>
  <si>
    <t>Pequeno</t>
  </si>
  <si>
    <t xml:space="preserve">Mocajuba </t>
  </si>
  <si>
    <t xml:space="preserve">Darcinópolis </t>
  </si>
  <si>
    <t xml:space="preserve">São Bernardo </t>
  </si>
  <si>
    <t xml:space="preserve">Catarina </t>
  </si>
  <si>
    <t xml:space="preserve">Apodi </t>
  </si>
  <si>
    <t xml:space="preserve">Mirandiba </t>
  </si>
  <si>
    <t xml:space="preserve">Santa Maria da Boa Vista </t>
  </si>
  <si>
    <t xml:space="preserve">Casa Nova </t>
  </si>
  <si>
    <t xml:space="preserve">Caravelas </t>
  </si>
  <si>
    <t xml:space="preserve">Rio Brilhante </t>
  </si>
  <si>
    <t xml:space="preserve">Juscimeira </t>
  </si>
  <si>
    <t xml:space="preserve">Vila Boa </t>
  </si>
  <si>
    <t xml:space="preserve">São Francisco do Glória </t>
  </si>
  <si>
    <t xml:space="preserve">Silva Jardim </t>
  </si>
  <si>
    <t xml:space="preserve">Alambari </t>
  </si>
  <si>
    <t xml:space="preserve">Boa Vista da Aparecida </t>
  </si>
  <si>
    <t xml:space="preserve">Praia Grande </t>
  </si>
  <si>
    <t xml:space="preserve">Nonoai </t>
  </si>
  <si>
    <t xml:space="preserve">Região </t>
  </si>
  <si>
    <t>Estado</t>
  </si>
  <si>
    <t>DiagM_2019</t>
  </si>
  <si>
    <t>DiagC_2019</t>
  </si>
  <si>
    <t>DiagM_2020</t>
  </si>
  <si>
    <t>DiagC_2020</t>
  </si>
  <si>
    <t>DiagM_2021</t>
  </si>
  <si>
    <t>DiagC_2021</t>
  </si>
  <si>
    <t>DiagM_2022</t>
  </si>
  <si>
    <t>DiagC_2022</t>
  </si>
  <si>
    <t>DiagM_2023</t>
  </si>
  <si>
    <t>DiagC_2023</t>
  </si>
  <si>
    <t>DiagM_2024</t>
  </si>
  <si>
    <t>DiagC_2024</t>
  </si>
  <si>
    <t>NO</t>
  </si>
  <si>
    <t>NDE</t>
  </si>
  <si>
    <t>CO</t>
  </si>
  <si>
    <t>SDE</t>
  </si>
  <si>
    <t>SUL</t>
  </si>
  <si>
    <t>Municipio_mun</t>
  </si>
  <si>
    <t>cobertura_cito_2019</t>
  </si>
  <si>
    <t>cobertura_cito_2020</t>
  </si>
  <si>
    <t>cobertura_cito_2021</t>
  </si>
  <si>
    <t>cobertura_cito_2022</t>
  </si>
  <si>
    <t>cobertura_cito_2023</t>
  </si>
  <si>
    <t>cobertura_cito_2024</t>
  </si>
  <si>
    <t>cobertura_citologia</t>
  </si>
  <si>
    <t>cobertura_2019</t>
  </si>
  <si>
    <t>cobertura_2020</t>
  </si>
  <si>
    <t>cobertura_2021</t>
  </si>
  <si>
    <t>cobertura_2022</t>
  </si>
  <si>
    <t>cobertura_2023</t>
  </si>
  <si>
    <t>cobertura_2024</t>
  </si>
  <si>
    <t>cobertura_mamografia</t>
  </si>
  <si>
    <t>Benjamin Constant - AM</t>
  </si>
  <si>
    <t>Tabatinga - AM</t>
  </si>
  <si>
    <t>Cametá - PA</t>
  </si>
  <si>
    <t>Araguaína - TO</t>
  </si>
  <si>
    <t>Mocajuba - PA</t>
  </si>
  <si>
    <t>Chapadinha - MA</t>
  </si>
  <si>
    <t>Iguatu - CE</t>
  </si>
  <si>
    <t>Darcinópolis - TO</t>
  </si>
  <si>
    <t>Mossoró - RN</t>
  </si>
  <si>
    <t>Petrolina - PE</t>
  </si>
  <si>
    <t>São Bernardo - MA</t>
  </si>
  <si>
    <t>Serra Talhada - PE</t>
  </si>
  <si>
    <t>Catarina - CE</t>
  </si>
  <si>
    <t>Juazeiro - BA</t>
  </si>
  <si>
    <t>Teixeira de Freitas - BA</t>
  </si>
  <si>
    <t>Apodi - RN</t>
  </si>
  <si>
    <t>Muriaé - MG</t>
  </si>
  <si>
    <t>Rio das Ostras - RJ</t>
  </si>
  <si>
    <t>Mirandiba - PE</t>
  </si>
  <si>
    <t>Sorocaba - SP</t>
  </si>
  <si>
    <t>Cascavel - PR</t>
  </si>
  <si>
    <t>Santa Maria da Boa Vista - PE</t>
  </si>
  <si>
    <t>Araranguá - SC</t>
  </si>
  <si>
    <t>Erechim - RS</t>
  </si>
  <si>
    <t>Caravelas - BA</t>
  </si>
  <si>
    <t>Dourados - MS</t>
  </si>
  <si>
    <t>Casa Nova - BA</t>
  </si>
  <si>
    <t>Rondonópolis - MT</t>
  </si>
  <si>
    <t>Formosa - GO</t>
  </si>
  <si>
    <t>São Francisco do Glória - MG</t>
  </si>
  <si>
    <t>Silva Jardim - RJ</t>
  </si>
  <si>
    <t>Alambari - SP</t>
  </si>
  <si>
    <t>Boa Vista da Aparecida - PR</t>
  </si>
  <si>
    <t>Praia Grande - SC</t>
  </si>
  <si>
    <t>Nonoai - RS</t>
  </si>
  <si>
    <t>Rio Brilhante - MS</t>
  </si>
  <si>
    <t>Juscimeira - MT</t>
  </si>
  <si>
    <t>Vila Boa - 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</si>
</sst>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b/>
      <sz val="11.0"/>
      <color theme="0"/>
      <name val="Calibri"/>
    </font>
    <font>
      <b/>
      <sz val="11.0"/>
      <color theme="1"/>
      <name val="Calibri"/>
    </font>
    <font>
      <sz val="11.0"/>
      <color theme="1"/>
      <name val="Aptos Narrow"/>
    </font>
    <font>
      <sz val="10.0"/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sz val="11.0"/>
      <color rgb="FF333333"/>
      <name val="Quattrocento Sans"/>
    </font>
    <font>
      <b/>
      <sz val="10.0"/>
      <color theme="0"/>
      <name val="Aptos Narrow"/>
    </font>
    <font>
      <b/>
      <sz val="10.0"/>
      <color theme="1"/>
      <name val="Aptos Narrow"/>
    </font>
    <font>
      <color theme="1"/>
      <name val="Aptos Narrow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01549"/>
        <bgColor rgb="FF501549"/>
      </patternFill>
    </fill>
    <fill>
      <patternFill patternType="solid">
        <fgColor rgb="FFD76DCC"/>
        <bgColor rgb="FFD76DCC"/>
      </patternFill>
    </fill>
    <fill>
      <patternFill patternType="solid">
        <fgColor rgb="FFF6C6AC"/>
        <bgColor rgb="FFF6C6AC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AA5694"/>
        <bgColor rgb="FFAA5694"/>
      </patternFill>
    </fill>
  </fills>
  <borders count="7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95B3D7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2" fillId="0" fontId="4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2" fillId="6" fontId="4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2" xfId="0" applyAlignment="1" applyFont="1" applyNumberFormat="1">
      <alignment horizontal="center"/>
    </xf>
    <xf borderId="0" fillId="0" fontId="5" numFmtId="0" xfId="0" applyAlignment="1" applyFont="1">
      <alignment horizontal="center" vertical="center"/>
    </xf>
    <xf borderId="2" fillId="0" fontId="3" numFmtId="0" xfId="0" applyAlignment="1" applyBorder="1" applyFont="1">
      <alignment horizontal="center" shrinkToFit="0" wrapText="1"/>
    </xf>
    <xf borderId="0" fillId="0" fontId="3" numFmtId="2" xfId="0" applyAlignment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3" fillId="6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shrinkToFit="0" wrapText="1"/>
    </xf>
    <xf borderId="0" fillId="0" fontId="7" numFmtId="10" xfId="0" applyFont="1" applyNumberFormat="1"/>
    <xf borderId="0" fillId="0" fontId="3" numFmtId="10" xfId="0" applyAlignment="1" applyFont="1" applyNumberFormat="1">
      <alignment horizontal="center" vertical="center"/>
    </xf>
    <xf borderId="1" fillId="2" fontId="8" numFmtId="0" xfId="0" applyBorder="1" applyFont="1"/>
    <xf borderId="1" fillId="2" fontId="8" numFmtId="0" xfId="0" applyAlignment="1" applyBorder="1" applyFont="1">
      <alignment horizontal="center"/>
    </xf>
    <xf borderId="1" fillId="5" fontId="9" numFmtId="0" xfId="0" applyAlignment="1" applyBorder="1" applyFont="1">
      <alignment horizontal="center"/>
    </xf>
    <xf borderId="1" fillId="7" fontId="9" numFmtId="0" xfId="0" applyBorder="1" applyFont="1"/>
    <xf borderId="1" fillId="7" fontId="9" numFmtId="0" xfId="0" applyAlignment="1" applyBorder="1" applyFont="1">
      <alignment horizontal="center"/>
    </xf>
    <xf borderId="0" fillId="0" fontId="10" numFmtId="0" xfId="0" applyFont="1"/>
    <xf borderId="4" fillId="0" fontId="11" numFmtId="0" xfId="0" applyAlignment="1" applyBorder="1" applyFont="1">
      <alignment horizontal="center" vertical="top"/>
    </xf>
    <xf borderId="0" fillId="0" fontId="12" numFmtId="0" xfId="0" applyFont="1"/>
    <xf borderId="5" fillId="0" fontId="2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shrinkToFit="0" wrapText="1"/>
    </xf>
    <xf borderId="6" fillId="0" fontId="5" numFmtId="0" xfId="0" applyAlignment="1" applyBorder="1" applyFont="1">
      <alignment shrinkToFit="0" wrapText="1"/>
    </xf>
    <xf borderId="0" fillId="0" fontId="3" numFmtId="0" xfId="0" applyFont="1"/>
    <xf borderId="1" fillId="4" fontId="3" numFmtId="0" xfId="0" applyBorder="1" applyFont="1"/>
    <xf borderId="2" fillId="0" fontId="5" numFmtId="0" xfId="0" applyAlignment="1" applyBorder="1" applyFont="1">
      <alignment horizontal="right" shrinkToFit="0" wrapText="1"/>
    </xf>
    <xf borderId="2" fillId="4" fontId="5" numFmtId="0" xfId="0" applyAlignment="1" applyBorder="1" applyFont="1">
      <alignment shrinkToFit="0" wrapText="1"/>
    </xf>
    <xf borderId="1" fillId="4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7.25"/>
    <col customWidth="1" min="3" max="3" width="21.25"/>
    <col customWidth="1" min="4" max="4" width="6.75"/>
    <col customWidth="1" min="5" max="7" width="11.63"/>
    <col customWidth="1" min="8" max="8" width="8.38"/>
    <col customWidth="1" min="9" max="9" width="12.25"/>
    <col customWidth="1" min="10" max="10" width="14.88"/>
    <col customWidth="1" min="11" max="13" width="11.75"/>
    <col customWidth="1" min="14" max="14" width="14.13"/>
    <col customWidth="1" min="15" max="15" width="14.0"/>
    <col customWidth="1" min="16" max="16" width="13.0"/>
    <col customWidth="1" min="17" max="17" width="9.88"/>
    <col customWidth="1" min="18" max="18" width="11.25"/>
    <col customWidth="1" min="19" max="21" width="12.0"/>
    <col customWidth="1" min="22" max="22" width="24.63"/>
    <col customWidth="1" min="23" max="23" width="22.25"/>
    <col customWidth="1" min="24" max="24" width="18.38"/>
    <col customWidth="1" min="25" max="25" width="16.38"/>
    <col customWidth="1" min="26" max="26" width="20.13"/>
    <col customWidth="1" min="27" max="27" width="22.25"/>
    <col customWidth="1" min="28" max="28" width="19.0"/>
    <col customWidth="1" min="29" max="29" width="13.0"/>
    <col customWidth="1" min="30" max="30" width="11.25"/>
    <col customWidth="1" min="31" max="31" width="10.88"/>
    <col customWidth="1" min="32" max="32" width="11.88"/>
    <col customWidth="1" min="33" max="33" width="8.88"/>
    <col customWidth="1" min="34" max="34" width="11.25"/>
    <col customWidth="1" min="35" max="35" width="11.13"/>
    <col customWidth="1" min="36" max="36" width="12.88"/>
    <col customWidth="1" min="37" max="37" width="11.38"/>
    <col customWidth="1" min="38" max="38" width="11.0"/>
    <col customWidth="1" min="39" max="39" width="10.88"/>
    <col customWidth="1" min="40" max="40" width="11.25"/>
    <col customWidth="1" min="41" max="41" width="13.25"/>
    <col customWidth="1" min="42" max="42" width="15.75"/>
    <col customWidth="1" min="43" max="43" width="13.25"/>
    <col customWidth="1" min="44" max="44" width="11.75"/>
    <col customWidth="1" min="45" max="45" width="14.75"/>
    <col customWidth="1" min="46" max="46" width="13.0"/>
    <col customWidth="1" min="47" max="47" width="10.0"/>
    <col customWidth="1" min="48" max="48" width="11.0"/>
    <col customWidth="1" min="49" max="49" width="8.88"/>
    <col customWidth="1" min="50" max="50" width="10.25"/>
    <col customWidth="1" min="51" max="51" width="8.88"/>
    <col customWidth="1" min="52" max="52" width="9.63"/>
    <col customWidth="1" min="53" max="53" width="10.38"/>
    <col customWidth="1" min="54" max="54" width="12.25"/>
    <col customWidth="1" min="55" max="55" width="10.75"/>
    <col customWidth="1" min="56" max="56" width="10.63"/>
    <col customWidth="1" min="57" max="57" width="10.88"/>
    <col customWidth="1" min="58" max="58" width="10.75"/>
    <col customWidth="1" min="59" max="60" width="13.13"/>
    <col customWidth="1" min="61" max="61" width="12.25"/>
    <col customWidth="1" min="62" max="62" width="13.0"/>
    <col customWidth="1" min="63" max="63" width="10.88"/>
    <col customWidth="1" min="64" max="64" width="1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</row>
    <row r="2">
      <c r="A2" s="8" t="s">
        <v>64</v>
      </c>
      <c r="B2" s="8" t="s">
        <v>65</v>
      </c>
      <c r="C2" s="8" t="s">
        <v>66</v>
      </c>
      <c r="D2" s="9" t="s">
        <v>67</v>
      </c>
      <c r="E2" s="8" t="s">
        <v>68</v>
      </c>
      <c r="F2" s="10">
        <v>66764.0</v>
      </c>
      <c r="G2" s="9">
        <v>22010.0</v>
      </c>
      <c r="H2" s="9">
        <v>3.0</v>
      </c>
      <c r="I2" s="11">
        <v>1116.9</v>
      </c>
      <c r="J2" s="11">
        <v>36.0</v>
      </c>
      <c r="K2" s="12">
        <v>0.0</v>
      </c>
      <c r="L2" s="13">
        <v>280.0</v>
      </c>
      <c r="M2" s="14">
        <v>96.32833333333332</v>
      </c>
      <c r="N2" s="9">
        <f t="shared" ref="N2:N39" si="1">SUM(AC2:AH2)</f>
        <v>1</v>
      </c>
      <c r="O2" s="9">
        <f t="shared" ref="O2:O39" si="2">SUM(AU2:AZ2)</f>
        <v>4</v>
      </c>
      <c r="P2" s="9">
        <f t="shared" ref="P2:P39" si="3">SUM(AI2:AN2)</f>
        <v>8</v>
      </c>
      <c r="Q2" s="9">
        <f t="shared" ref="Q2:Q39" si="4">SUM(BA2:BF2)</f>
        <v>17</v>
      </c>
      <c r="R2" s="9">
        <f t="shared" ref="R2:R39" si="5">SUM(AO2:AT2)</f>
        <v>4</v>
      </c>
      <c r="S2" s="9">
        <f t="shared" ref="S2:S39" si="6">SUM(BG2:BL2)</f>
        <v>10</v>
      </c>
      <c r="T2" s="9">
        <f t="shared" ref="T2:T39" si="7">N2/F2*100000</f>
        <v>1.497813193</v>
      </c>
      <c r="U2" s="9">
        <f t="shared" ref="U2:U39" si="8">O2/F2*100000</f>
        <v>5.991252771</v>
      </c>
      <c r="V2" s="9"/>
      <c r="W2" s="9"/>
      <c r="X2" s="9"/>
      <c r="Y2" s="9"/>
      <c r="Z2" s="9">
        <v>30.808224496249014</v>
      </c>
      <c r="AA2" s="9">
        <v>1.0127064953833333</v>
      </c>
      <c r="AB2" s="9">
        <v>1.924673E-9</v>
      </c>
      <c r="AC2" s="9">
        <v>0.0</v>
      </c>
      <c r="AD2" s="9">
        <v>0.0</v>
      </c>
      <c r="AE2" s="9">
        <v>0.0</v>
      </c>
      <c r="AF2" s="9">
        <v>0.0</v>
      </c>
      <c r="AG2" s="9">
        <v>0.0</v>
      </c>
      <c r="AH2" s="15">
        <v>1.0</v>
      </c>
      <c r="AI2" s="15">
        <v>2.0</v>
      </c>
      <c r="AJ2" s="15">
        <v>3.0</v>
      </c>
      <c r="AK2" s="15">
        <v>2.0</v>
      </c>
      <c r="AL2" s="15">
        <v>1.0</v>
      </c>
      <c r="AM2" s="9">
        <v>0.0</v>
      </c>
      <c r="AN2" s="15">
        <v>0.0</v>
      </c>
      <c r="AO2" s="15">
        <v>0.0</v>
      </c>
      <c r="AP2" s="15">
        <v>1.0</v>
      </c>
      <c r="AQ2" s="15">
        <v>0.0</v>
      </c>
      <c r="AR2" s="15">
        <v>1.0</v>
      </c>
      <c r="AS2" s="9">
        <v>2.0</v>
      </c>
      <c r="AT2" s="15">
        <v>0.0</v>
      </c>
      <c r="AU2" s="9">
        <v>0.0</v>
      </c>
      <c r="AV2" s="9">
        <v>0.0</v>
      </c>
      <c r="AW2" s="9">
        <v>0.0</v>
      </c>
      <c r="AX2" s="9">
        <v>0.0</v>
      </c>
      <c r="AY2" s="15">
        <v>2.0</v>
      </c>
      <c r="AZ2" s="15">
        <v>2.0</v>
      </c>
      <c r="BA2" s="15">
        <v>7.0</v>
      </c>
      <c r="BB2" s="9">
        <v>0.0</v>
      </c>
      <c r="BC2" s="15">
        <v>7.0</v>
      </c>
      <c r="BD2" s="15">
        <v>2.0</v>
      </c>
      <c r="BE2" s="15">
        <v>1.0</v>
      </c>
      <c r="BF2" s="15">
        <v>0.0</v>
      </c>
      <c r="BG2" s="15">
        <v>3.0</v>
      </c>
      <c r="BH2" s="9">
        <v>2.0</v>
      </c>
      <c r="BI2" s="15">
        <v>3.0</v>
      </c>
      <c r="BJ2" s="15">
        <v>1.0</v>
      </c>
      <c r="BK2" s="15">
        <v>1.0</v>
      </c>
      <c r="BL2" s="9">
        <v>0.0</v>
      </c>
    </row>
    <row r="3">
      <c r="A3" s="8" t="s">
        <v>64</v>
      </c>
      <c r="B3" s="8" t="s">
        <v>69</v>
      </c>
      <c r="C3" s="8" t="s">
        <v>70</v>
      </c>
      <c r="D3" s="9" t="s">
        <v>71</v>
      </c>
      <c r="E3" s="8" t="s">
        <v>68</v>
      </c>
      <c r="F3" s="10">
        <v>134184.0</v>
      </c>
      <c r="G3" s="9">
        <v>9117.0</v>
      </c>
      <c r="H3" s="9">
        <v>4.0</v>
      </c>
      <c r="I3" s="11">
        <v>234.0</v>
      </c>
      <c r="J3" s="11">
        <v>4.36</v>
      </c>
      <c r="K3" s="16">
        <v>20.54515026</v>
      </c>
      <c r="L3" s="13">
        <v>44855.0</v>
      </c>
      <c r="M3" s="17">
        <v>107.925</v>
      </c>
      <c r="N3" s="9">
        <f t="shared" si="1"/>
        <v>43</v>
      </c>
      <c r="O3" s="9">
        <f t="shared" si="2"/>
        <v>18</v>
      </c>
      <c r="P3" s="9">
        <f t="shared" si="3"/>
        <v>41</v>
      </c>
      <c r="Q3" s="9">
        <f t="shared" si="4"/>
        <v>35</v>
      </c>
      <c r="R3" s="9">
        <f t="shared" si="5"/>
        <v>22</v>
      </c>
      <c r="S3" s="9">
        <f t="shared" si="6"/>
        <v>19</v>
      </c>
      <c r="T3" s="9">
        <f t="shared" si="7"/>
        <v>32.04554939</v>
      </c>
      <c r="U3" s="9">
        <f t="shared" si="8"/>
        <v>13.41441603</v>
      </c>
      <c r="V3" s="9"/>
      <c r="W3" s="9"/>
      <c r="X3" s="9"/>
      <c r="Y3" s="9"/>
      <c r="Z3" s="9">
        <v>43.86914544853187</v>
      </c>
      <c r="AA3" s="9">
        <v>3.0193296331666666</v>
      </c>
      <c r="AB3" s="9">
        <v>3.210714E-9</v>
      </c>
      <c r="AC3" s="15">
        <v>7.0</v>
      </c>
      <c r="AD3" s="15">
        <v>2.0</v>
      </c>
      <c r="AE3" s="15">
        <v>4.0</v>
      </c>
      <c r="AF3" s="15">
        <v>11.0</v>
      </c>
      <c r="AG3" s="15">
        <v>6.0</v>
      </c>
      <c r="AH3" s="15">
        <v>13.0</v>
      </c>
      <c r="AI3" s="15">
        <v>7.0</v>
      </c>
      <c r="AJ3" s="15">
        <v>10.0</v>
      </c>
      <c r="AK3" s="15">
        <v>19.0</v>
      </c>
      <c r="AL3" s="15">
        <v>5.0</v>
      </c>
      <c r="AM3" s="9">
        <v>0.0</v>
      </c>
      <c r="AN3" s="15">
        <v>0.0</v>
      </c>
      <c r="AO3" s="15">
        <v>6.0</v>
      </c>
      <c r="AP3" s="15">
        <v>4.0</v>
      </c>
      <c r="AQ3" s="15">
        <v>4.0</v>
      </c>
      <c r="AR3" s="15">
        <v>5.0</v>
      </c>
      <c r="AS3" s="9">
        <v>3.0</v>
      </c>
      <c r="AT3" s="15">
        <v>0.0</v>
      </c>
      <c r="AU3" s="15">
        <v>6.0</v>
      </c>
      <c r="AV3" s="15">
        <v>2.0</v>
      </c>
      <c r="AW3" s="15">
        <v>2.0</v>
      </c>
      <c r="AX3" s="15">
        <v>6.0</v>
      </c>
      <c r="AY3" s="15">
        <v>1.0</v>
      </c>
      <c r="AZ3" s="15">
        <v>1.0</v>
      </c>
      <c r="BA3" s="15">
        <v>9.0</v>
      </c>
      <c r="BB3" s="15">
        <v>5.0</v>
      </c>
      <c r="BC3" s="15">
        <v>10.0</v>
      </c>
      <c r="BD3" s="15">
        <v>11.0</v>
      </c>
      <c r="BE3" s="9">
        <v>0.0</v>
      </c>
      <c r="BF3" s="15">
        <v>0.0</v>
      </c>
      <c r="BG3" s="15">
        <v>2.0</v>
      </c>
      <c r="BH3" s="15">
        <v>3.0</v>
      </c>
      <c r="BI3" s="15">
        <v>2.0</v>
      </c>
      <c r="BJ3" s="15">
        <v>5.0</v>
      </c>
      <c r="BK3" s="9">
        <v>7.0</v>
      </c>
      <c r="BL3" s="9">
        <v>0.0</v>
      </c>
    </row>
    <row r="4">
      <c r="A4" s="8" t="s">
        <v>64</v>
      </c>
      <c r="B4" s="8" t="s">
        <v>72</v>
      </c>
      <c r="C4" s="8" t="s">
        <v>73</v>
      </c>
      <c r="D4" s="9" t="s">
        <v>74</v>
      </c>
      <c r="E4" s="8" t="s">
        <v>68</v>
      </c>
      <c r="F4" s="10">
        <v>171301.0</v>
      </c>
      <c r="G4" s="9">
        <v>80973.0</v>
      </c>
      <c r="H4" s="9">
        <v>3.0</v>
      </c>
      <c r="I4" s="11">
        <v>383.0</v>
      </c>
      <c r="J4" s="11">
        <v>9.1</v>
      </c>
      <c r="K4" s="16">
        <v>10028.52122</v>
      </c>
      <c r="L4" s="13">
        <v>13977.0</v>
      </c>
      <c r="M4" s="13">
        <v>125.41</v>
      </c>
      <c r="N4" s="9">
        <f t="shared" si="1"/>
        <v>120</v>
      </c>
      <c r="O4" s="9">
        <f t="shared" si="2"/>
        <v>159</v>
      </c>
      <c r="P4" s="9">
        <f t="shared" si="3"/>
        <v>175</v>
      </c>
      <c r="Q4" s="9">
        <f t="shared" si="4"/>
        <v>131</v>
      </c>
      <c r="R4" s="9">
        <f t="shared" si="5"/>
        <v>68</v>
      </c>
      <c r="S4" s="9">
        <f t="shared" si="6"/>
        <v>44</v>
      </c>
      <c r="T4" s="9">
        <f t="shared" si="7"/>
        <v>70.05213046</v>
      </c>
      <c r="U4" s="9">
        <f t="shared" si="8"/>
        <v>92.81907286</v>
      </c>
      <c r="V4" s="9"/>
      <c r="W4" s="9"/>
      <c r="X4" s="9"/>
      <c r="Y4" s="9"/>
      <c r="Z4" s="9">
        <v>17.9505382474282</v>
      </c>
      <c r="AA4" s="9">
        <v>14.599643455666667</v>
      </c>
      <c r="AB4" s="9">
        <v>1.081379E-8</v>
      </c>
      <c r="AC4" s="15">
        <v>25.0</v>
      </c>
      <c r="AD4" s="15">
        <v>15.0</v>
      </c>
      <c r="AE4" s="15">
        <v>23.0</v>
      </c>
      <c r="AF4" s="15">
        <v>10.0</v>
      </c>
      <c r="AG4" s="15">
        <v>23.0</v>
      </c>
      <c r="AH4" s="15">
        <v>24.0</v>
      </c>
      <c r="AI4" s="15">
        <v>57.0</v>
      </c>
      <c r="AJ4" s="15">
        <v>35.0</v>
      </c>
      <c r="AK4" s="15">
        <v>48.0</v>
      </c>
      <c r="AL4" s="15">
        <v>35.0</v>
      </c>
      <c r="AM4" s="9">
        <v>0.0</v>
      </c>
      <c r="AN4" s="15">
        <v>0.0</v>
      </c>
      <c r="AO4" s="15">
        <v>12.0</v>
      </c>
      <c r="AP4" s="15">
        <v>10.0</v>
      </c>
      <c r="AQ4" s="15">
        <v>16.0</v>
      </c>
      <c r="AR4" s="15">
        <v>18.0</v>
      </c>
      <c r="AS4" s="9">
        <v>12.0</v>
      </c>
      <c r="AT4" s="15">
        <v>0.0</v>
      </c>
      <c r="AU4" s="15">
        <v>31.0</v>
      </c>
      <c r="AV4" s="15">
        <v>18.0</v>
      </c>
      <c r="AW4" s="15">
        <v>18.0</v>
      </c>
      <c r="AX4" s="15">
        <v>22.0</v>
      </c>
      <c r="AY4" s="15">
        <v>42.0</v>
      </c>
      <c r="AZ4" s="15">
        <v>28.0</v>
      </c>
      <c r="BA4" s="15">
        <v>41.0</v>
      </c>
      <c r="BB4" s="15">
        <v>36.0</v>
      </c>
      <c r="BC4" s="15">
        <v>38.0</v>
      </c>
      <c r="BD4" s="15">
        <v>15.0</v>
      </c>
      <c r="BE4" s="15">
        <v>1.0</v>
      </c>
      <c r="BF4" s="15">
        <v>0.0</v>
      </c>
      <c r="BG4" s="15">
        <v>7.0</v>
      </c>
      <c r="BH4" s="15">
        <v>7.0</v>
      </c>
      <c r="BI4" s="15">
        <v>13.0</v>
      </c>
      <c r="BJ4" s="15">
        <v>11.0</v>
      </c>
      <c r="BK4" s="15">
        <v>6.0</v>
      </c>
      <c r="BL4" s="9">
        <v>0.0</v>
      </c>
    </row>
    <row r="5">
      <c r="A5" s="8" t="s">
        <v>75</v>
      </c>
      <c r="B5" s="8" t="s">
        <v>76</v>
      </c>
      <c r="C5" s="8" t="s">
        <v>77</v>
      </c>
      <c r="D5" s="9" t="s">
        <v>78</v>
      </c>
      <c r="E5" s="8" t="s">
        <v>68</v>
      </c>
      <c r="F5" s="10">
        <v>81386.0</v>
      </c>
      <c r="G5" s="9">
        <v>10062.0</v>
      </c>
      <c r="H5" s="9">
        <v>4.0</v>
      </c>
      <c r="I5" s="9">
        <v>247.0</v>
      </c>
      <c r="J5" s="9">
        <v>4.1</v>
      </c>
      <c r="K5" s="16">
        <v>6545.638453</v>
      </c>
      <c r="L5" s="13">
        <v>7412.0</v>
      </c>
      <c r="M5" s="14">
        <v>116.46833333333336</v>
      </c>
      <c r="N5" s="9">
        <f t="shared" si="1"/>
        <v>19</v>
      </c>
      <c r="O5" s="9">
        <f t="shared" si="2"/>
        <v>11</v>
      </c>
      <c r="P5" s="9">
        <f t="shared" si="3"/>
        <v>45</v>
      </c>
      <c r="Q5" s="9">
        <f t="shared" si="4"/>
        <v>62</v>
      </c>
      <c r="R5" s="9">
        <f t="shared" si="5"/>
        <v>19</v>
      </c>
      <c r="S5" s="9">
        <f t="shared" si="6"/>
        <v>27</v>
      </c>
      <c r="T5" s="9">
        <f t="shared" si="7"/>
        <v>23.34553854</v>
      </c>
      <c r="U5" s="9">
        <f t="shared" si="8"/>
        <v>13.5158381</v>
      </c>
      <c r="V5" s="9"/>
      <c r="W5" s="9"/>
      <c r="X5" s="9"/>
      <c r="Y5" s="9"/>
      <c r="Z5" s="9">
        <v>22.79645630971937</v>
      </c>
      <c r="AA5" s="9">
        <v>14.783145403166666</v>
      </c>
      <c r="AB5" s="9">
        <v>1.213403E-8</v>
      </c>
      <c r="AC5" s="9">
        <v>0.0</v>
      </c>
      <c r="AD5" s="15">
        <v>5.0</v>
      </c>
      <c r="AE5" s="15">
        <v>4.0</v>
      </c>
      <c r="AF5" s="15">
        <v>3.0</v>
      </c>
      <c r="AG5" s="15">
        <v>3.0</v>
      </c>
      <c r="AH5" s="15">
        <v>4.0</v>
      </c>
      <c r="AI5" s="15">
        <v>8.0</v>
      </c>
      <c r="AJ5" s="15">
        <v>7.0</v>
      </c>
      <c r="AK5" s="15">
        <v>10.0</v>
      </c>
      <c r="AL5" s="15">
        <v>10.0</v>
      </c>
      <c r="AM5" s="15">
        <v>10.0</v>
      </c>
      <c r="AN5" s="15">
        <v>0.0</v>
      </c>
      <c r="AO5" s="15">
        <v>5.0</v>
      </c>
      <c r="AP5" s="15">
        <v>5.0</v>
      </c>
      <c r="AQ5" s="15">
        <v>5.0</v>
      </c>
      <c r="AR5" s="15">
        <v>4.0</v>
      </c>
      <c r="AS5" s="15">
        <v>0.0</v>
      </c>
      <c r="AT5" s="15">
        <v>0.0</v>
      </c>
      <c r="AU5" s="15">
        <v>2.0</v>
      </c>
      <c r="AV5" s="15">
        <v>3.0</v>
      </c>
      <c r="AW5" s="15">
        <v>2.0</v>
      </c>
      <c r="AX5" s="15">
        <v>2.0</v>
      </c>
      <c r="AY5" s="9">
        <v>0.0</v>
      </c>
      <c r="AZ5" s="15">
        <v>2.0</v>
      </c>
      <c r="BA5" s="15">
        <v>7.0</v>
      </c>
      <c r="BB5" s="15">
        <v>12.0</v>
      </c>
      <c r="BC5" s="15">
        <v>13.0</v>
      </c>
      <c r="BD5" s="15">
        <v>12.0</v>
      </c>
      <c r="BE5" s="15">
        <v>18.0</v>
      </c>
      <c r="BF5" s="15">
        <v>0.0</v>
      </c>
      <c r="BG5" s="15">
        <v>3.0</v>
      </c>
      <c r="BH5" s="15">
        <v>5.0</v>
      </c>
      <c r="BI5" s="15">
        <v>8.0</v>
      </c>
      <c r="BJ5" s="15">
        <v>5.0</v>
      </c>
      <c r="BK5" s="15">
        <v>6.0</v>
      </c>
      <c r="BL5" s="9">
        <v>0.0</v>
      </c>
    </row>
    <row r="6">
      <c r="A6" s="8" t="s">
        <v>75</v>
      </c>
      <c r="B6" s="8" t="s">
        <v>79</v>
      </c>
      <c r="C6" s="8" t="s">
        <v>80</v>
      </c>
      <c r="D6" s="9" t="s">
        <v>81</v>
      </c>
      <c r="E6" s="8" t="s">
        <v>68</v>
      </c>
      <c r="F6" s="10">
        <v>90064.0</v>
      </c>
      <c r="G6" s="18">
        <v>23272.0</v>
      </c>
      <c r="H6" s="9">
        <v>8.0</v>
      </c>
      <c r="I6" s="9">
        <v>365.0</v>
      </c>
      <c r="J6" s="9">
        <v>5.5</v>
      </c>
      <c r="K6" s="16">
        <v>230.0680944</v>
      </c>
      <c r="L6" s="13">
        <v>10419.0</v>
      </c>
      <c r="M6" s="14">
        <v>139.48750000000004</v>
      </c>
      <c r="N6" s="9">
        <f t="shared" si="1"/>
        <v>34</v>
      </c>
      <c r="O6" s="9">
        <f t="shared" si="2"/>
        <v>6</v>
      </c>
      <c r="P6" s="9">
        <f t="shared" si="3"/>
        <v>133</v>
      </c>
      <c r="Q6" s="9">
        <f t="shared" si="4"/>
        <v>29</v>
      </c>
      <c r="R6" s="9">
        <f t="shared" si="5"/>
        <v>51</v>
      </c>
      <c r="S6" s="9">
        <f t="shared" si="6"/>
        <v>18</v>
      </c>
      <c r="T6" s="9">
        <f t="shared" si="7"/>
        <v>37.75093267</v>
      </c>
      <c r="U6" s="9">
        <f t="shared" si="8"/>
        <v>6.661929295</v>
      </c>
      <c r="V6" s="9"/>
      <c r="W6" s="9"/>
      <c r="X6" s="9"/>
      <c r="Y6" s="9"/>
      <c r="Z6" s="9">
        <v>9.060935703470193</v>
      </c>
      <c r="AA6" s="9">
        <v>27.340279373333335</v>
      </c>
      <c r="AB6" s="9">
        <v>5.372934E-8</v>
      </c>
      <c r="AC6" s="15">
        <v>1.0</v>
      </c>
      <c r="AD6" s="15">
        <v>2.0</v>
      </c>
      <c r="AE6" s="15">
        <v>5.0</v>
      </c>
      <c r="AF6" s="15">
        <v>2.0</v>
      </c>
      <c r="AG6" s="15">
        <v>14.0</v>
      </c>
      <c r="AH6" s="15">
        <v>10.0</v>
      </c>
      <c r="AI6" s="15">
        <v>33.0</v>
      </c>
      <c r="AJ6" s="15">
        <v>41.0</v>
      </c>
      <c r="AK6" s="15">
        <v>30.0</v>
      </c>
      <c r="AL6" s="15">
        <v>29.0</v>
      </c>
      <c r="AM6" s="9">
        <v>0.0</v>
      </c>
      <c r="AN6" s="15">
        <v>0.0</v>
      </c>
      <c r="AO6" s="15">
        <v>10.0</v>
      </c>
      <c r="AP6" s="15">
        <v>16.0</v>
      </c>
      <c r="AQ6" s="15">
        <v>7.0</v>
      </c>
      <c r="AR6" s="15">
        <v>8.0</v>
      </c>
      <c r="AS6" s="9">
        <v>10.0</v>
      </c>
      <c r="AT6" s="15">
        <v>0.0</v>
      </c>
      <c r="AU6" s="9">
        <v>0.0</v>
      </c>
      <c r="AV6" s="9">
        <v>0.0</v>
      </c>
      <c r="AW6" s="15">
        <v>1.0</v>
      </c>
      <c r="AX6" s="15">
        <v>5.0</v>
      </c>
      <c r="AY6" s="9">
        <v>0.0</v>
      </c>
      <c r="AZ6" s="9">
        <v>0.0</v>
      </c>
      <c r="BA6" s="15">
        <v>6.0</v>
      </c>
      <c r="BB6" s="15">
        <v>7.0</v>
      </c>
      <c r="BC6" s="15">
        <v>10.0</v>
      </c>
      <c r="BD6" s="15">
        <v>6.0</v>
      </c>
      <c r="BE6" s="9">
        <v>0.0</v>
      </c>
      <c r="BF6" s="15">
        <v>0.0</v>
      </c>
      <c r="BG6" s="15">
        <v>3.0</v>
      </c>
      <c r="BH6" s="15">
        <v>5.0</v>
      </c>
      <c r="BI6" s="15">
        <v>7.0</v>
      </c>
      <c r="BJ6" s="15">
        <v>2.0</v>
      </c>
      <c r="BK6" s="9">
        <v>1.0</v>
      </c>
      <c r="BL6" s="9">
        <v>0.0</v>
      </c>
    </row>
    <row r="7">
      <c r="A7" s="8" t="s">
        <v>75</v>
      </c>
      <c r="B7" s="8" t="s">
        <v>82</v>
      </c>
      <c r="C7" s="8" t="s">
        <v>83</v>
      </c>
      <c r="D7" s="9" t="s">
        <v>84</v>
      </c>
      <c r="E7" s="8" t="s">
        <v>68</v>
      </c>
      <c r="F7" s="10">
        <v>264577.0</v>
      </c>
      <c r="G7" s="18">
        <v>23496.0</v>
      </c>
      <c r="H7" s="9">
        <v>6.0</v>
      </c>
      <c r="I7" s="9">
        <v>280.0</v>
      </c>
      <c r="J7" s="9">
        <v>4.4</v>
      </c>
      <c r="K7" s="16">
        <v>27891.61491</v>
      </c>
      <c r="L7" s="13">
        <v>27049.0</v>
      </c>
      <c r="M7" s="14">
        <v>92.71916666666665</v>
      </c>
      <c r="N7" s="9">
        <f t="shared" si="1"/>
        <v>17</v>
      </c>
      <c r="O7" s="9">
        <f t="shared" si="2"/>
        <v>44</v>
      </c>
      <c r="P7" s="9">
        <f t="shared" si="3"/>
        <v>446</v>
      </c>
      <c r="Q7" s="9">
        <f t="shared" si="4"/>
        <v>159</v>
      </c>
      <c r="R7" s="9">
        <f t="shared" si="5"/>
        <v>162</v>
      </c>
      <c r="S7" s="9">
        <f t="shared" si="6"/>
        <v>72</v>
      </c>
      <c r="T7" s="9">
        <f t="shared" si="7"/>
        <v>6.425350654</v>
      </c>
      <c r="U7" s="9">
        <f t="shared" si="8"/>
        <v>16.63031934</v>
      </c>
      <c r="V7" s="9"/>
      <c r="W7" s="9"/>
      <c r="X7" s="9"/>
      <c r="Y7" s="9"/>
      <c r="Z7" s="9">
        <v>30.157744453574136</v>
      </c>
      <c r="AA7" s="9">
        <v>28.056067105</v>
      </c>
      <c r="AB7" s="9">
        <v>1.136157E-7</v>
      </c>
      <c r="AC7" s="15">
        <v>8.0</v>
      </c>
      <c r="AD7" s="9">
        <v>0.0</v>
      </c>
      <c r="AE7" s="15">
        <v>1.0</v>
      </c>
      <c r="AF7" s="15">
        <v>2.0</v>
      </c>
      <c r="AG7" s="15">
        <v>6.0</v>
      </c>
      <c r="AH7" s="9">
        <v>0.0</v>
      </c>
      <c r="AI7" s="15">
        <v>144.0</v>
      </c>
      <c r="AJ7" s="15">
        <v>108.0</v>
      </c>
      <c r="AK7" s="15">
        <v>193.0</v>
      </c>
      <c r="AL7" s="15">
        <v>1.0</v>
      </c>
      <c r="AM7" s="9">
        <v>0.0</v>
      </c>
      <c r="AN7" s="15">
        <v>0.0</v>
      </c>
      <c r="AO7" s="15">
        <v>36.0</v>
      </c>
      <c r="AP7" s="15">
        <v>36.0</v>
      </c>
      <c r="AQ7" s="15">
        <v>26.0</v>
      </c>
      <c r="AR7" s="15">
        <v>24.0</v>
      </c>
      <c r="AS7" s="9">
        <v>40.0</v>
      </c>
      <c r="AT7" s="15">
        <v>0.0</v>
      </c>
      <c r="AU7" s="15">
        <v>9.0</v>
      </c>
      <c r="AV7" s="15">
        <v>5.0</v>
      </c>
      <c r="AW7" s="15">
        <v>9.0</v>
      </c>
      <c r="AX7" s="15">
        <v>8.0</v>
      </c>
      <c r="AY7" s="15">
        <v>9.0</v>
      </c>
      <c r="AZ7" s="15">
        <v>4.0</v>
      </c>
      <c r="BA7" s="15">
        <v>59.0</v>
      </c>
      <c r="BB7" s="15">
        <v>39.0</v>
      </c>
      <c r="BC7" s="15">
        <v>60.0</v>
      </c>
      <c r="BD7" s="15">
        <v>1.0</v>
      </c>
      <c r="BE7" s="9">
        <v>0.0</v>
      </c>
      <c r="BF7" s="15">
        <v>0.0</v>
      </c>
      <c r="BG7" s="15">
        <v>15.0</v>
      </c>
      <c r="BH7" s="15">
        <v>14.0</v>
      </c>
      <c r="BI7" s="15">
        <v>13.0</v>
      </c>
      <c r="BJ7" s="15">
        <v>15.0</v>
      </c>
      <c r="BK7" s="9">
        <v>15.0</v>
      </c>
      <c r="BL7" s="9">
        <v>0.0</v>
      </c>
    </row>
    <row r="8">
      <c r="A8" s="8" t="s">
        <v>75</v>
      </c>
      <c r="B8" s="8" t="s">
        <v>85</v>
      </c>
      <c r="C8" s="8" t="s">
        <v>86</v>
      </c>
      <c r="D8" s="9" t="s">
        <v>87</v>
      </c>
      <c r="E8" s="8" t="s">
        <v>68</v>
      </c>
      <c r="F8" s="19">
        <v>92228.0</v>
      </c>
      <c r="G8" s="18">
        <v>105291.0</v>
      </c>
      <c r="H8" s="9">
        <v>12.0</v>
      </c>
      <c r="I8" s="9">
        <v>412.0</v>
      </c>
      <c r="J8" s="9">
        <v>6.52</v>
      </c>
      <c r="K8" s="16">
        <v>74.47709719</v>
      </c>
      <c r="L8" s="13">
        <v>5807.0</v>
      </c>
      <c r="M8" s="9">
        <v>96.77</v>
      </c>
      <c r="N8" s="9">
        <f t="shared" si="1"/>
        <v>27</v>
      </c>
      <c r="O8" s="9">
        <f t="shared" si="2"/>
        <v>20</v>
      </c>
      <c r="P8" s="9">
        <f t="shared" si="3"/>
        <v>41</v>
      </c>
      <c r="Q8" s="9">
        <f t="shared" si="4"/>
        <v>30</v>
      </c>
      <c r="R8" s="9">
        <f t="shared" si="5"/>
        <v>32</v>
      </c>
      <c r="S8" s="9">
        <f t="shared" si="6"/>
        <v>17</v>
      </c>
      <c r="T8" s="9">
        <f t="shared" si="7"/>
        <v>29.27527432</v>
      </c>
      <c r="U8" s="9">
        <f t="shared" si="8"/>
        <v>21.68538839</v>
      </c>
      <c r="V8" s="9"/>
      <c r="W8" s="9"/>
      <c r="X8" s="9"/>
      <c r="Y8" s="9"/>
      <c r="Z8" s="9">
        <v>89.00386030761841</v>
      </c>
      <c r="AA8" s="9">
        <v>64.54929460666666</v>
      </c>
      <c r="AB8" s="9">
        <v>1.223642E-7</v>
      </c>
      <c r="AC8" s="15">
        <v>7.0</v>
      </c>
      <c r="AD8" s="15">
        <v>7.0</v>
      </c>
      <c r="AE8" s="15">
        <v>3.0</v>
      </c>
      <c r="AF8" s="15">
        <v>4.0</v>
      </c>
      <c r="AG8" s="15">
        <v>3.0</v>
      </c>
      <c r="AH8" s="15">
        <v>3.0</v>
      </c>
      <c r="AI8" s="15">
        <v>10.0</v>
      </c>
      <c r="AJ8" s="15">
        <v>9.0</v>
      </c>
      <c r="AK8" s="15">
        <v>15.0</v>
      </c>
      <c r="AL8" s="15">
        <v>7.0</v>
      </c>
      <c r="AM8" s="9">
        <v>0.0</v>
      </c>
      <c r="AN8" s="15">
        <v>0.0</v>
      </c>
      <c r="AO8" s="15">
        <v>5.0</v>
      </c>
      <c r="AP8" s="15">
        <v>7.0</v>
      </c>
      <c r="AQ8" s="15">
        <v>9.0</v>
      </c>
      <c r="AR8" s="15">
        <v>4.0</v>
      </c>
      <c r="AS8" s="9">
        <v>7.0</v>
      </c>
      <c r="AT8" s="15">
        <v>0.0</v>
      </c>
      <c r="AU8" s="15">
        <v>4.0</v>
      </c>
      <c r="AV8" s="15">
        <v>5.0</v>
      </c>
      <c r="AW8" s="15">
        <v>4.0</v>
      </c>
      <c r="AX8" s="15">
        <v>3.0</v>
      </c>
      <c r="AY8" s="15">
        <v>2.0</v>
      </c>
      <c r="AZ8" s="15">
        <v>2.0</v>
      </c>
      <c r="BA8" s="15">
        <v>8.0</v>
      </c>
      <c r="BB8" s="15">
        <v>9.0</v>
      </c>
      <c r="BC8" s="15">
        <v>9.0</v>
      </c>
      <c r="BD8" s="15">
        <v>4.0</v>
      </c>
      <c r="BE8" s="9">
        <v>0.0</v>
      </c>
      <c r="BF8" s="15">
        <v>0.0</v>
      </c>
      <c r="BG8" s="15">
        <v>2.0</v>
      </c>
      <c r="BH8" s="15">
        <v>6.0</v>
      </c>
      <c r="BI8" s="15">
        <v>2.0</v>
      </c>
      <c r="BJ8" s="15">
        <v>3.0</v>
      </c>
      <c r="BK8" s="9">
        <v>4.0</v>
      </c>
      <c r="BL8" s="9">
        <v>0.0</v>
      </c>
    </row>
    <row r="9">
      <c r="A9" s="8" t="s">
        <v>75</v>
      </c>
      <c r="B9" s="8" t="s">
        <v>85</v>
      </c>
      <c r="C9" s="8" t="s">
        <v>88</v>
      </c>
      <c r="D9" s="9" t="s">
        <v>87</v>
      </c>
      <c r="E9" s="8" t="s">
        <v>68</v>
      </c>
      <c r="F9" s="19">
        <v>386791.0</v>
      </c>
      <c r="G9" s="18">
        <v>22243.0</v>
      </c>
      <c r="H9" s="9">
        <v>12.0</v>
      </c>
      <c r="I9" s="9">
        <v>713.0</v>
      </c>
      <c r="J9" s="9">
        <v>12.05</v>
      </c>
      <c r="K9" s="16">
        <v>40911.33611</v>
      </c>
      <c r="L9" s="13">
        <v>39250.0</v>
      </c>
      <c r="M9" s="14">
        <v>89.935</v>
      </c>
      <c r="N9" s="9">
        <f t="shared" si="1"/>
        <v>24</v>
      </c>
      <c r="O9" s="9">
        <f t="shared" si="2"/>
        <v>39</v>
      </c>
      <c r="P9" s="9">
        <f t="shared" si="3"/>
        <v>330</v>
      </c>
      <c r="Q9" s="9">
        <f t="shared" si="4"/>
        <v>225</v>
      </c>
      <c r="R9" s="9">
        <f t="shared" si="5"/>
        <v>143</v>
      </c>
      <c r="S9" s="9">
        <f t="shared" si="6"/>
        <v>87</v>
      </c>
      <c r="T9" s="9">
        <f t="shared" si="7"/>
        <v>6.204901355</v>
      </c>
      <c r="U9" s="9">
        <f t="shared" si="8"/>
        <v>10.0829647</v>
      </c>
      <c r="V9" s="9"/>
      <c r="W9" s="9"/>
      <c r="X9" s="9"/>
      <c r="Y9" s="9"/>
      <c r="Z9" s="9">
        <v>11.8649935929852</v>
      </c>
      <c r="AA9" s="9">
        <v>23.610979303333334</v>
      </c>
      <c r="AB9" s="9">
        <v>1.223642E-7</v>
      </c>
      <c r="AC9" s="15">
        <v>5.0</v>
      </c>
      <c r="AD9" s="15">
        <v>3.0</v>
      </c>
      <c r="AE9" s="15">
        <v>13.0</v>
      </c>
      <c r="AF9" s="15">
        <v>3.0</v>
      </c>
      <c r="AG9" s="9">
        <v>0.0</v>
      </c>
      <c r="AH9" s="9">
        <v>0.0</v>
      </c>
      <c r="AI9" s="15">
        <v>106.0</v>
      </c>
      <c r="AJ9" s="15">
        <v>58.0</v>
      </c>
      <c r="AK9" s="15">
        <v>58.0</v>
      </c>
      <c r="AL9" s="15">
        <v>50.0</v>
      </c>
      <c r="AM9" s="15">
        <v>58.0</v>
      </c>
      <c r="AN9" s="15">
        <v>0.0</v>
      </c>
      <c r="AO9" s="15">
        <v>29.0</v>
      </c>
      <c r="AP9" s="15">
        <v>23.0</v>
      </c>
      <c r="AQ9" s="15">
        <v>31.0</v>
      </c>
      <c r="AR9" s="15">
        <v>28.0</v>
      </c>
      <c r="AS9" s="15">
        <v>32.0</v>
      </c>
      <c r="AT9" s="15">
        <v>0.0</v>
      </c>
      <c r="AU9" s="15">
        <v>6.0</v>
      </c>
      <c r="AV9" s="15">
        <v>20.0</v>
      </c>
      <c r="AW9" s="15">
        <v>6.0</v>
      </c>
      <c r="AX9" s="15">
        <v>3.0</v>
      </c>
      <c r="AY9" s="15">
        <v>4.0</v>
      </c>
      <c r="AZ9" s="9">
        <v>0.0</v>
      </c>
      <c r="BA9" s="15">
        <v>61.0</v>
      </c>
      <c r="BB9" s="15">
        <v>41.0</v>
      </c>
      <c r="BC9" s="15">
        <v>59.0</v>
      </c>
      <c r="BD9" s="15">
        <v>40.0</v>
      </c>
      <c r="BE9" s="15">
        <v>24.0</v>
      </c>
      <c r="BF9" s="15">
        <v>0.0</v>
      </c>
      <c r="BG9" s="15">
        <v>13.0</v>
      </c>
      <c r="BH9" s="15">
        <v>14.0</v>
      </c>
      <c r="BI9" s="15">
        <v>23.0</v>
      </c>
      <c r="BJ9" s="15">
        <v>16.0</v>
      </c>
      <c r="BK9" s="15">
        <v>21.0</v>
      </c>
      <c r="BL9" s="9">
        <v>0.0</v>
      </c>
    </row>
    <row r="10">
      <c r="A10" s="8" t="s">
        <v>75</v>
      </c>
      <c r="B10" s="8" t="s">
        <v>89</v>
      </c>
      <c r="C10" s="8" t="s">
        <v>90</v>
      </c>
      <c r="D10" s="9" t="s">
        <v>91</v>
      </c>
      <c r="E10" s="8" t="s">
        <v>68</v>
      </c>
      <c r="F10" s="10">
        <v>237821.0</v>
      </c>
      <c r="G10" s="18">
        <v>47807.0</v>
      </c>
      <c r="H10" s="9">
        <v>17.0</v>
      </c>
      <c r="I10" s="9">
        <v>513.0</v>
      </c>
      <c r="J10" s="9">
        <v>8.45</v>
      </c>
      <c r="K10" s="16">
        <v>58053.15802</v>
      </c>
      <c r="L10" s="13">
        <v>40097.0</v>
      </c>
      <c r="M10" s="14">
        <v>99.19416666666666</v>
      </c>
      <c r="N10" s="9">
        <f t="shared" si="1"/>
        <v>9</v>
      </c>
      <c r="O10" s="9">
        <f t="shared" si="2"/>
        <v>109</v>
      </c>
      <c r="P10" s="9">
        <f t="shared" si="3"/>
        <v>251</v>
      </c>
      <c r="Q10" s="9">
        <f t="shared" si="4"/>
        <v>104</v>
      </c>
      <c r="R10" s="9">
        <f t="shared" si="5"/>
        <v>87</v>
      </c>
      <c r="S10" s="9">
        <f t="shared" si="6"/>
        <v>44</v>
      </c>
      <c r="T10" s="9">
        <f t="shared" si="7"/>
        <v>3.784358824</v>
      </c>
      <c r="U10" s="9">
        <f t="shared" si="8"/>
        <v>45.83279021</v>
      </c>
      <c r="V10" s="9"/>
      <c r="W10" s="9"/>
      <c r="X10" s="9"/>
      <c r="Y10" s="9"/>
      <c r="Z10" s="9">
        <v>28.228435664688885</v>
      </c>
      <c r="AA10" s="9">
        <v>53.236338345</v>
      </c>
      <c r="AB10" s="9">
        <v>3.010126E-8</v>
      </c>
      <c r="AC10" s="9">
        <v>0.0</v>
      </c>
      <c r="AD10" s="15">
        <v>1.0</v>
      </c>
      <c r="AE10" s="15">
        <v>2.0</v>
      </c>
      <c r="AF10" s="9">
        <v>0.0</v>
      </c>
      <c r="AG10" s="15">
        <v>3.0</v>
      </c>
      <c r="AH10" s="15">
        <v>3.0</v>
      </c>
      <c r="AI10" s="15">
        <v>47.0</v>
      </c>
      <c r="AJ10" s="15">
        <v>46.0</v>
      </c>
      <c r="AK10" s="15">
        <v>66.0</v>
      </c>
      <c r="AL10" s="15">
        <v>81.0</v>
      </c>
      <c r="AM10" s="15">
        <v>11.0</v>
      </c>
      <c r="AN10" s="15">
        <v>0.0</v>
      </c>
      <c r="AO10" s="15">
        <v>12.0</v>
      </c>
      <c r="AP10" s="15">
        <v>17.0</v>
      </c>
      <c r="AQ10" s="15">
        <v>18.0</v>
      </c>
      <c r="AR10" s="15">
        <v>15.0</v>
      </c>
      <c r="AS10" s="15">
        <v>25.0</v>
      </c>
      <c r="AT10" s="15">
        <v>0.0</v>
      </c>
      <c r="AU10" s="15">
        <v>27.0</v>
      </c>
      <c r="AV10" s="15">
        <v>11.0</v>
      </c>
      <c r="AW10" s="15">
        <v>15.0</v>
      </c>
      <c r="AX10" s="15">
        <v>16.0</v>
      </c>
      <c r="AY10" s="15">
        <v>19.0</v>
      </c>
      <c r="AZ10" s="15">
        <v>21.0</v>
      </c>
      <c r="BA10" s="15">
        <v>12.0</v>
      </c>
      <c r="BB10" s="15">
        <v>27.0</v>
      </c>
      <c r="BC10" s="15">
        <v>33.0</v>
      </c>
      <c r="BD10" s="15">
        <v>30.0</v>
      </c>
      <c r="BE10" s="15">
        <v>2.0</v>
      </c>
      <c r="BF10" s="15">
        <v>0.0</v>
      </c>
      <c r="BG10" s="15">
        <v>10.0</v>
      </c>
      <c r="BH10" s="15">
        <v>5.0</v>
      </c>
      <c r="BI10" s="15">
        <v>10.0</v>
      </c>
      <c r="BJ10" s="15">
        <v>10.0</v>
      </c>
      <c r="BK10" s="15">
        <v>9.0</v>
      </c>
      <c r="BL10" s="9">
        <v>0.0</v>
      </c>
    </row>
    <row r="11">
      <c r="A11" s="8" t="s">
        <v>75</v>
      </c>
      <c r="B11" s="8" t="s">
        <v>89</v>
      </c>
      <c r="C11" s="8" t="s">
        <v>92</v>
      </c>
      <c r="D11" s="9" t="s">
        <v>91</v>
      </c>
      <c r="E11" s="8" t="s">
        <v>68</v>
      </c>
      <c r="F11" s="10">
        <v>145216.0</v>
      </c>
      <c r="G11" s="18">
        <v>25379.0</v>
      </c>
      <c r="H11" s="9">
        <v>17.0</v>
      </c>
      <c r="I11" s="20">
        <v>844.0</v>
      </c>
      <c r="J11" s="20">
        <v>15.51</v>
      </c>
      <c r="K11" s="16">
        <v>1487.949607</v>
      </c>
      <c r="L11" s="13">
        <v>4545.0</v>
      </c>
      <c r="M11" s="14">
        <v>102.92916666666669</v>
      </c>
      <c r="N11" s="9">
        <f t="shared" si="1"/>
        <v>5</v>
      </c>
      <c r="O11" s="9">
        <f t="shared" si="2"/>
        <v>5</v>
      </c>
      <c r="P11" s="9">
        <f t="shared" si="3"/>
        <v>133</v>
      </c>
      <c r="Q11" s="9">
        <f t="shared" si="4"/>
        <v>75</v>
      </c>
      <c r="R11" s="9">
        <f t="shared" si="5"/>
        <v>56</v>
      </c>
      <c r="S11" s="9">
        <f t="shared" si="6"/>
        <v>38</v>
      </c>
      <c r="T11" s="9">
        <f t="shared" si="7"/>
        <v>3.443146761</v>
      </c>
      <c r="U11" s="9">
        <f t="shared" si="8"/>
        <v>3.443146761</v>
      </c>
      <c r="V11" s="9"/>
      <c r="W11" s="9"/>
      <c r="X11" s="9"/>
      <c r="Y11" s="9"/>
      <c r="Z11" s="9">
        <v>44.18683989040263</v>
      </c>
      <c r="AA11" s="9">
        <v>27.13449007666667</v>
      </c>
      <c r="AB11" s="9">
        <v>3.010126E-8</v>
      </c>
      <c r="AC11" s="15">
        <v>3.0</v>
      </c>
      <c r="AD11" s="9">
        <v>0.0</v>
      </c>
      <c r="AE11" s="9">
        <v>0.0</v>
      </c>
      <c r="AF11" s="9">
        <v>0.0</v>
      </c>
      <c r="AG11" s="9">
        <v>0.0</v>
      </c>
      <c r="AH11" s="15">
        <v>2.0</v>
      </c>
      <c r="AI11" s="15">
        <v>15.0</v>
      </c>
      <c r="AJ11" s="15">
        <v>19.0</v>
      </c>
      <c r="AK11" s="15">
        <v>35.0</v>
      </c>
      <c r="AL11" s="15">
        <v>53.0</v>
      </c>
      <c r="AM11" s="15">
        <v>11.0</v>
      </c>
      <c r="AN11" s="15">
        <v>0.0</v>
      </c>
      <c r="AO11" s="15">
        <v>14.0</v>
      </c>
      <c r="AP11" s="15">
        <v>10.0</v>
      </c>
      <c r="AQ11" s="15">
        <v>8.0</v>
      </c>
      <c r="AR11" s="15">
        <v>11.0</v>
      </c>
      <c r="AS11" s="15">
        <v>13.0</v>
      </c>
      <c r="AT11" s="15">
        <v>0.0</v>
      </c>
      <c r="AU11" s="15">
        <v>1.0</v>
      </c>
      <c r="AV11" s="9">
        <v>0.0</v>
      </c>
      <c r="AW11" s="15">
        <v>2.0</v>
      </c>
      <c r="AX11" s="9">
        <v>0.0</v>
      </c>
      <c r="AY11" s="15">
        <v>1.0</v>
      </c>
      <c r="AZ11" s="15">
        <v>1.0</v>
      </c>
      <c r="BA11" s="15">
        <v>8.0</v>
      </c>
      <c r="BB11" s="15">
        <v>10.0</v>
      </c>
      <c r="BC11" s="15">
        <v>21.0</v>
      </c>
      <c r="BD11" s="15">
        <v>29.0</v>
      </c>
      <c r="BE11" s="15">
        <v>7.0</v>
      </c>
      <c r="BF11" s="15">
        <v>0.0</v>
      </c>
      <c r="BG11" s="15">
        <v>7.0</v>
      </c>
      <c r="BH11" s="15">
        <v>7.0</v>
      </c>
      <c r="BI11" s="15">
        <v>9.0</v>
      </c>
      <c r="BJ11" s="15">
        <v>8.0</v>
      </c>
      <c r="BK11" s="15">
        <v>7.0</v>
      </c>
      <c r="BL11" s="9">
        <v>0.0</v>
      </c>
    </row>
    <row r="12">
      <c r="A12" s="8" t="s">
        <v>93</v>
      </c>
      <c r="B12" s="8" t="s">
        <v>94</v>
      </c>
      <c r="C12" s="8" t="s">
        <v>95</v>
      </c>
      <c r="D12" s="9" t="s">
        <v>96</v>
      </c>
      <c r="E12" s="8" t="s">
        <v>68</v>
      </c>
      <c r="F12" s="19">
        <v>243367.0</v>
      </c>
      <c r="G12" s="18">
        <v>9705.0</v>
      </c>
      <c r="H12" s="9">
        <v>8.0</v>
      </c>
      <c r="I12" s="20">
        <v>225.0</v>
      </c>
      <c r="J12" s="20">
        <v>4.19</v>
      </c>
      <c r="K12" s="16">
        <v>234334.2841</v>
      </c>
      <c r="L12" s="13">
        <v>446242.0</v>
      </c>
      <c r="M12" s="14">
        <v>85.90749999999998</v>
      </c>
      <c r="N12" s="9">
        <f t="shared" si="1"/>
        <v>10</v>
      </c>
      <c r="O12" s="9">
        <f t="shared" si="2"/>
        <v>398</v>
      </c>
      <c r="P12" s="9">
        <f t="shared" si="3"/>
        <v>244</v>
      </c>
      <c r="Q12" s="9">
        <f t="shared" si="4"/>
        <v>89</v>
      </c>
      <c r="R12" s="9">
        <f t="shared" si="5"/>
        <v>92</v>
      </c>
      <c r="S12" s="9">
        <f t="shared" si="6"/>
        <v>35</v>
      </c>
      <c r="T12" s="9">
        <f t="shared" si="7"/>
        <v>4.109020533</v>
      </c>
      <c r="U12" s="9">
        <f t="shared" si="8"/>
        <v>163.5390172</v>
      </c>
      <c r="V12" s="9"/>
      <c r="W12" s="9"/>
      <c r="X12" s="9"/>
      <c r="Y12" s="9"/>
      <c r="Z12" s="9">
        <v>38.69932929962979</v>
      </c>
      <c r="AA12" s="9">
        <v>35.33428947666666</v>
      </c>
      <c r="AB12" s="9">
        <v>2.240005E-7</v>
      </c>
      <c r="AC12" s="15">
        <v>3.0</v>
      </c>
      <c r="AD12" s="9">
        <v>0.0</v>
      </c>
      <c r="AE12" s="9">
        <v>0.0</v>
      </c>
      <c r="AF12" s="15">
        <v>2.0</v>
      </c>
      <c r="AG12" s="15">
        <v>1.0</v>
      </c>
      <c r="AH12" s="15">
        <v>4.0</v>
      </c>
      <c r="AI12" s="15">
        <v>64.0</v>
      </c>
      <c r="AJ12" s="15">
        <v>52.0</v>
      </c>
      <c r="AK12" s="15">
        <v>44.0</v>
      </c>
      <c r="AL12" s="15">
        <v>83.0</v>
      </c>
      <c r="AM12" s="15">
        <v>1.0</v>
      </c>
      <c r="AN12" s="15">
        <v>0.0</v>
      </c>
      <c r="AO12" s="15">
        <v>26.0</v>
      </c>
      <c r="AP12" s="15">
        <v>14.0</v>
      </c>
      <c r="AQ12" s="15">
        <v>17.0</v>
      </c>
      <c r="AR12" s="15">
        <v>16.0</v>
      </c>
      <c r="AS12" s="15">
        <v>19.0</v>
      </c>
      <c r="AT12" s="15">
        <v>0.0</v>
      </c>
      <c r="AU12" s="15">
        <v>94.0</v>
      </c>
      <c r="AV12" s="15">
        <v>98.0</v>
      </c>
      <c r="AW12" s="15">
        <v>31.0</v>
      </c>
      <c r="AX12" s="15">
        <v>83.0</v>
      </c>
      <c r="AY12" s="15">
        <v>52.0</v>
      </c>
      <c r="AZ12" s="15">
        <v>40.0</v>
      </c>
      <c r="BA12" s="15">
        <v>24.0</v>
      </c>
      <c r="BB12" s="15">
        <v>29.0</v>
      </c>
      <c r="BC12" s="15">
        <v>21.0</v>
      </c>
      <c r="BD12" s="15">
        <v>15.0</v>
      </c>
      <c r="BE12" s="9">
        <v>0.0</v>
      </c>
      <c r="BF12" s="15">
        <v>0.0</v>
      </c>
      <c r="BG12" s="15">
        <v>10.0</v>
      </c>
      <c r="BH12" s="15">
        <v>7.0</v>
      </c>
      <c r="BI12" s="15">
        <v>6.0</v>
      </c>
      <c r="BJ12" s="15">
        <v>6.0</v>
      </c>
      <c r="BK12" s="9">
        <v>6.0</v>
      </c>
      <c r="BL12" s="9">
        <v>0.0</v>
      </c>
    </row>
    <row r="13">
      <c r="A13" s="8" t="s">
        <v>93</v>
      </c>
      <c r="B13" s="8" t="s">
        <v>97</v>
      </c>
      <c r="C13" s="8" t="s">
        <v>98</v>
      </c>
      <c r="D13" s="9" t="s">
        <v>99</v>
      </c>
      <c r="E13" s="8" t="s">
        <v>68</v>
      </c>
      <c r="F13" s="19">
        <v>244911.0</v>
      </c>
      <c r="G13" s="18">
        <v>9875.0</v>
      </c>
      <c r="H13" s="9">
        <v>5.0</v>
      </c>
      <c r="I13" s="20">
        <v>216.0</v>
      </c>
      <c r="J13" s="20">
        <v>4.18</v>
      </c>
      <c r="K13" s="16">
        <v>107041.8424</v>
      </c>
      <c r="L13" s="13">
        <v>159181.0</v>
      </c>
      <c r="M13" s="14">
        <v>87.11749999999999</v>
      </c>
      <c r="N13" s="9">
        <f t="shared" si="1"/>
        <v>119</v>
      </c>
      <c r="O13" s="9">
        <f t="shared" si="2"/>
        <v>190</v>
      </c>
      <c r="P13" s="9">
        <f t="shared" si="3"/>
        <v>196</v>
      </c>
      <c r="Q13" s="9">
        <f t="shared" si="4"/>
        <v>56</v>
      </c>
      <c r="R13" s="9">
        <f t="shared" si="5"/>
        <v>88</v>
      </c>
      <c r="S13" s="9">
        <f t="shared" si="6"/>
        <v>35</v>
      </c>
      <c r="T13" s="9">
        <f t="shared" si="7"/>
        <v>48.5890793</v>
      </c>
      <c r="U13" s="9">
        <f t="shared" si="8"/>
        <v>77.57920224</v>
      </c>
      <c r="V13" s="9"/>
      <c r="W13" s="9"/>
      <c r="X13" s="9"/>
      <c r="Y13" s="9"/>
      <c r="Z13" s="9">
        <v>39.14691625000906</v>
      </c>
      <c r="AA13" s="9">
        <v>37.546881465000006</v>
      </c>
      <c r="AB13" s="9">
        <v>5.535821E-9</v>
      </c>
      <c r="AC13" s="15">
        <v>1.0</v>
      </c>
      <c r="AD13" s="15">
        <v>1.0</v>
      </c>
      <c r="AE13" s="9">
        <v>0.0</v>
      </c>
      <c r="AF13" s="15">
        <v>29.0</v>
      </c>
      <c r="AG13" s="15">
        <v>42.0</v>
      </c>
      <c r="AH13" s="15">
        <v>46.0</v>
      </c>
      <c r="AI13" s="15">
        <v>60.0</v>
      </c>
      <c r="AJ13" s="15">
        <v>41.0</v>
      </c>
      <c r="AK13" s="15">
        <v>40.0</v>
      </c>
      <c r="AL13" s="15">
        <v>54.0</v>
      </c>
      <c r="AM13" s="15">
        <v>1.0</v>
      </c>
      <c r="AN13" s="15">
        <v>0.0</v>
      </c>
      <c r="AO13" s="15">
        <v>12.0</v>
      </c>
      <c r="AP13" s="15">
        <v>15.0</v>
      </c>
      <c r="AQ13" s="15">
        <v>15.0</v>
      </c>
      <c r="AR13" s="15">
        <v>23.0</v>
      </c>
      <c r="AS13" s="15">
        <v>23.0</v>
      </c>
      <c r="AT13" s="15">
        <v>0.0</v>
      </c>
      <c r="AU13" s="15">
        <v>27.0</v>
      </c>
      <c r="AV13" s="15">
        <v>17.0</v>
      </c>
      <c r="AW13" s="15">
        <v>42.0</v>
      </c>
      <c r="AX13" s="15">
        <v>35.0</v>
      </c>
      <c r="AY13" s="15">
        <v>26.0</v>
      </c>
      <c r="AZ13" s="15">
        <v>43.0</v>
      </c>
      <c r="BA13" s="15">
        <v>19.0</v>
      </c>
      <c r="BB13" s="15">
        <v>18.0</v>
      </c>
      <c r="BC13" s="15">
        <v>8.0</v>
      </c>
      <c r="BD13" s="15">
        <v>11.0</v>
      </c>
      <c r="BE13" s="9">
        <v>0.0</v>
      </c>
      <c r="BF13" s="15">
        <v>0.0</v>
      </c>
      <c r="BG13" s="15">
        <v>6.0</v>
      </c>
      <c r="BH13" s="15">
        <v>6.0</v>
      </c>
      <c r="BI13" s="15">
        <v>10.0</v>
      </c>
      <c r="BJ13" s="15">
        <v>7.0</v>
      </c>
      <c r="BK13" s="9">
        <v>6.0</v>
      </c>
      <c r="BL13" s="9">
        <v>0.0</v>
      </c>
    </row>
    <row r="14">
      <c r="A14" s="8" t="s">
        <v>93</v>
      </c>
      <c r="B14" s="8" t="s">
        <v>100</v>
      </c>
      <c r="C14" s="8" t="s">
        <v>101</v>
      </c>
      <c r="D14" s="9" t="s">
        <v>102</v>
      </c>
      <c r="E14" s="8" t="s">
        <v>68</v>
      </c>
      <c r="F14" s="19">
        <v>114901.0</v>
      </c>
      <c r="G14" s="18">
        <v>19983.0</v>
      </c>
      <c r="H14" s="9">
        <v>5.0</v>
      </c>
      <c r="I14" s="20">
        <v>281.0</v>
      </c>
      <c r="J14" s="20">
        <v>6.55</v>
      </c>
      <c r="K14" s="16">
        <v>30675.91669</v>
      </c>
      <c r="L14" s="13">
        <v>50092.0</v>
      </c>
      <c r="M14" s="14">
        <v>75.7675</v>
      </c>
      <c r="N14" s="9">
        <f t="shared" si="1"/>
        <v>41</v>
      </c>
      <c r="O14" s="9">
        <f t="shared" si="2"/>
        <v>29</v>
      </c>
      <c r="P14" s="9">
        <f t="shared" si="3"/>
        <v>44</v>
      </c>
      <c r="Q14" s="9">
        <f t="shared" si="4"/>
        <v>21</v>
      </c>
      <c r="R14" s="9">
        <f t="shared" si="5"/>
        <v>42</v>
      </c>
      <c r="S14" s="9">
        <f t="shared" si="6"/>
        <v>20</v>
      </c>
      <c r="T14" s="9">
        <f t="shared" si="7"/>
        <v>35.68289223</v>
      </c>
      <c r="U14" s="9">
        <f t="shared" si="8"/>
        <v>25.23911889</v>
      </c>
      <c r="V14" s="9"/>
      <c r="W14" s="9"/>
      <c r="X14" s="9"/>
      <c r="Y14" s="9"/>
      <c r="Z14" s="9">
        <v>30.619634268317864</v>
      </c>
      <c r="AA14" s="9">
        <v>10.497144866000001</v>
      </c>
      <c r="AB14" s="9">
        <v>1.469539E-7</v>
      </c>
      <c r="AC14" s="9">
        <v>0.0</v>
      </c>
      <c r="AD14" s="15">
        <v>5.0</v>
      </c>
      <c r="AE14" s="15">
        <v>4.0</v>
      </c>
      <c r="AF14" s="15">
        <v>5.0</v>
      </c>
      <c r="AG14" s="15">
        <v>14.0</v>
      </c>
      <c r="AH14" s="15">
        <v>13.0</v>
      </c>
      <c r="AI14" s="15">
        <v>7.0</v>
      </c>
      <c r="AJ14" s="15">
        <v>9.0</v>
      </c>
      <c r="AK14" s="15">
        <v>16.0</v>
      </c>
      <c r="AL14" s="15">
        <v>12.0</v>
      </c>
      <c r="AM14" s="9">
        <v>0.0</v>
      </c>
      <c r="AN14" s="15">
        <v>0.0</v>
      </c>
      <c r="AO14" s="15">
        <v>9.0</v>
      </c>
      <c r="AP14" s="15">
        <v>9.0</v>
      </c>
      <c r="AQ14" s="15">
        <v>4.0</v>
      </c>
      <c r="AR14" s="15">
        <v>6.0</v>
      </c>
      <c r="AS14" s="9">
        <v>14.0</v>
      </c>
      <c r="AT14" s="15">
        <v>0.0</v>
      </c>
      <c r="AU14" s="15">
        <v>8.0</v>
      </c>
      <c r="AV14" s="15">
        <v>6.0</v>
      </c>
      <c r="AW14" s="15">
        <v>3.0</v>
      </c>
      <c r="AX14" s="9">
        <v>0.0</v>
      </c>
      <c r="AY14" s="15">
        <v>5.0</v>
      </c>
      <c r="AZ14" s="15">
        <v>7.0</v>
      </c>
      <c r="BA14" s="15">
        <v>5.0</v>
      </c>
      <c r="BB14" s="15">
        <v>5.0</v>
      </c>
      <c r="BC14" s="15">
        <v>6.0</v>
      </c>
      <c r="BD14" s="15">
        <v>5.0</v>
      </c>
      <c r="BE14" s="9">
        <v>0.0</v>
      </c>
      <c r="BF14" s="15">
        <v>0.0</v>
      </c>
      <c r="BG14" s="15">
        <v>2.0</v>
      </c>
      <c r="BH14" s="15">
        <v>4.0</v>
      </c>
      <c r="BI14" s="15">
        <v>4.0</v>
      </c>
      <c r="BJ14" s="15">
        <v>6.0</v>
      </c>
      <c r="BK14" s="9">
        <v>4.0</v>
      </c>
      <c r="BL14" s="9">
        <v>0.0</v>
      </c>
    </row>
    <row r="15">
      <c r="A15" s="8" t="s">
        <v>103</v>
      </c>
      <c r="B15" s="8" t="s">
        <v>104</v>
      </c>
      <c r="C15" s="8" t="s">
        <v>105</v>
      </c>
      <c r="D15" s="9" t="s">
        <v>106</v>
      </c>
      <c r="E15" s="8" t="s">
        <v>68</v>
      </c>
      <c r="F15" s="19">
        <v>104108.0</v>
      </c>
      <c r="G15" s="18">
        <v>8093.0</v>
      </c>
      <c r="H15" s="9">
        <v>37.0</v>
      </c>
      <c r="I15" s="20">
        <v>312.0</v>
      </c>
      <c r="J15" s="20">
        <v>5.34</v>
      </c>
      <c r="K15" s="16">
        <v>455.1986474</v>
      </c>
      <c r="L15" s="13">
        <v>2039.0</v>
      </c>
      <c r="M15" s="14">
        <v>119.37833333333334</v>
      </c>
      <c r="N15" s="9">
        <f t="shared" si="1"/>
        <v>269</v>
      </c>
      <c r="O15" s="9">
        <f t="shared" si="2"/>
        <v>39</v>
      </c>
      <c r="P15" s="9">
        <f t="shared" si="3"/>
        <v>327</v>
      </c>
      <c r="Q15" s="9">
        <f t="shared" si="4"/>
        <v>54</v>
      </c>
      <c r="R15" s="9">
        <f t="shared" si="5"/>
        <v>71</v>
      </c>
      <c r="S15" s="9">
        <f t="shared" si="6"/>
        <v>23</v>
      </c>
      <c r="T15" s="9">
        <f t="shared" si="7"/>
        <v>258.3855227</v>
      </c>
      <c r="U15" s="9">
        <f t="shared" si="8"/>
        <v>37.46109809</v>
      </c>
      <c r="V15" s="9"/>
      <c r="W15" s="9"/>
      <c r="X15" s="9"/>
      <c r="Y15" s="9"/>
      <c r="Z15" s="9">
        <v>48.38760007208322</v>
      </c>
      <c r="AA15" s="9">
        <v>34.630237861666664</v>
      </c>
      <c r="AB15" s="9">
        <v>6.30846E-8</v>
      </c>
      <c r="AC15" s="15">
        <v>34.0</v>
      </c>
      <c r="AD15" s="15">
        <v>31.0</v>
      </c>
      <c r="AE15" s="15">
        <v>38.0</v>
      </c>
      <c r="AF15" s="15">
        <v>49.0</v>
      </c>
      <c r="AG15" s="15">
        <v>57.0</v>
      </c>
      <c r="AH15" s="15">
        <v>60.0</v>
      </c>
      <c r="AI15" s="15">
        <v>61.0</v>
      </c>
      <c r="AJ15" s="15">
        <v>53.0</v>
      </c>
      <c r="AK15" s="15">
        <v>73.0</v>
      </c>
      <c r="AL15" s="15">
        <v>63.0</v>
      </c>
      <c r="AM15" s="15">
        <v>77.0</v>
      </c>
      <c r="AN15" s="15">
        <v>0.0</v>
      </c>
      <c r="AO15" s="15">
        <v>15.0</v>
      </c>
      <c r="AP15" s="15">
        <v>13.0</v>
      </c>
      <c r="AQ15" s="15">
        <v>12.0</v>
      </c>
      <c r="AR15" s="15">
        <v>17.0</v>
      </c>
      <c r="AS15" s="15">
        <v>14.0</v>
      </c>
      <c r="AT15" s="15">
        <v>0.0</v>
      </c>
      <c r="AU15" s="15">
        <v>4.0</v>
      </c>
      <c r="AV15" s="15">
        <v>4.0</v>
      </c>
      <c r="AW15" s="15">
        <v>6.0</v>
      </c>
      <c r="AX15" s="15">
        <v>8.0</v>
      </c>
      <c r="AY15" s="15">
        <v>8.0</v>
      </c>
      <c r="AZ15" s="15">
        <v>9.0</v>
      </c>
      <c r="BA15" s="15">
        <v>6.0</v>
      </c>
      <c r="BB15" s="15">
        <v>17.0</v>
      </c>
      <c r="BC15" s="15">
        <v>12.0</v>
      </c>
      <c r="BD15" s="15">
        <v>12.0</v>
      </c>
      <c r="BE15" s="15">
        <v>7.0</v>
      </c>
      <c r="BF15" s="15">
        <v>0.0</v>
      </c>
      <c r="BG15" s="15">
        <v>6.0</v>
      </c>
      <c r="BH15" s="15">
        <v>4.0</v>
      </c>
      <c r="BI15" s="15">
        <v>2.0</v>
      </c>
      <c r="BJ15" s="15">
        <v>7.0</v>
      </c>
      <c r="BK15" s="15">
        <v>4.0</v>
      </c>
      <c r="BL15" s="9">
        <v>0.0</v>
      </c>
    </row>
    <row r="16">
      <c r="A16" s="8" t="s">
        <v>103</v>
      </c>
      <c r="B16" s="8" t="s">
        <v>107</v>
      </c>
      <c r="C16" s="8" t="s">
        <v>108</v>
      </c>
      <c r="D16" s="9" t="s">
        <v>109</v>
      </c>
      <c r="E16" s="8" t="s">
        <v>68</v>
      </c>
      <c r="F16" s="19">
        <v>156491.0</v>
      </c>
      <c r="G16" s="18">
        <v>7709.0</v>
      </c>
      <c r="H16" s="9">
        <v>30.0</v>
      </c>
      <c r="I16" s="20">
        <v>169.0</v>
      </c>
      <c r="J16" s="20">
        <v>3.05</v>
      </c>
      <c r="K16" s="16">
        <v>0.6624990479</v>
      </c>
      <c r="L16" s="13">
        <v>19.0</v>
      </c>
      <c r="M16" s="14">
        <v>67.65250000000002</v>
      </c>
      <c r="N16" s="9">
        <f t="shared" si="1"/>
        <v>9</v>
      </c>
      <c r="O16" s="9">
        <f t="shared" si="2"/>
        <v>7</v>
      </c>
      <c r="P16" s="9">
        <f t="shared" si="3"/>
        <v>27</v>
      </c>
      <c r="Q16" s="9">
        <f t="shared" si="4"/>
        <v>3</v>
      </c>
      <c r="R16" s="9">
        <f t="shared" si="5"/>
        <v>79</v>
      </c>
      <c r="S16" s="9">
        <f t="shared" si="6"/>
        <v>12</v>
      </c>
      <c r="T16" s="9">
        <f t="shared" si="7"/>
        <v>5.751129458</v>
      </c>
      <c r="U16" s="9">
        <f t="shared" si="8"/>
        <v>4.473100689</v>
      </c>
      <c r="V16" s="9"/>
      <c r="W16" s="9"/>
      <c r="X16" s="9"/>
      <c r="Y16" s="9"/>
      <c r="Z16" s="9">
        <v>28.168113896227435</v>
      </c>
      <c r="AA16" s="9">
        <v>16.636738845666667</v>
      </c>
      <c r="AB16" s="9">
        <v>6.857076E-7</v>
      </c>
      <c r="AC16" s="15">
        <v>1.0</v>
      </c>
      <c r="AD16" s="15">
        <v>2.0</v>
      </c>
      <c r="AE16" s="15">
        <v>1.0</v>
      </c>
      <c r="AF16" s="15">
        <v>1.0</v>
      </c>
      <c r="AG16" s="15">
        <v>1.0</v>
      </c>
      <c r="AH16" s="15">
        <v>3.0</v>
      </c>
      <c r="AI16" s="15">
        <v>8.0</v>
      </c>
      <c r="AJ16" s="15">
        <v>15.0</v>
      </c>
      <c r="AK16" s="15">
        <v>3.0</v>
      </c>
      <c r="AL16" s="9">
        <v>0.0</v>
      </c>
      <c r="AM16" s="15">
        <v>1.0</v>
      </c>
      <c r="AN16" s="15">
        <v>0.0</v>
      </c>
      <c r="AO16" s="15">
        <v>14.0</v>
      </c>
      <c r="AP16" s="15">
        <v>13.0</v>
      </c>
      <c r="AQ16" s="15">
        <v>19.0</v>
      </c>
      <c r="AR16" s="9">
        <v>14.0</v>
      </c>
      <c r="AS16" s="15">
        <v>19.0</v>
      </c>
      <c r="AT16" s="15">
        <v>0.0</v>
      </c>
      <c r="AU16" s="15">
        <v>1.0</v>
      </c>
      <c r="AV16" s="9">
        <v>0.0</v>
      </c>
      <c r="AW16" s="15">
        <v>3.0</v>
      </c>
      <c r="AX16" s="15">
        <v>1.0</v>
      </c>
      <c r="AY16" s="15">
        <v>1.0</v>
      </c>
      <c r="AZ16" s="15">
        <v>1.0</v>
      </c>
      <c r="BA16" s="15">
        <v>2.0</v>
      </c>
      <c r="BB16" s="15">
        <v>1.0</v>
      </c>
      <c r="BC16" s="9">
        <v>0.0</v>
      </c>
      <c r="BD16" s="9">
        <v>0.0</v>
      </c>
      <c r="BE16" s="9">
        <v>0.0</v>
      </c>
      <c r="BF16" s="15">
        <v>0.0</v>
      </c>
      <c r="BG16" s="15">
        <v>3.0</v>
      </c>
      <c r="BH16" s="15">
        <v>2.0</v>
      </c>
      <c r="BI16" s="9">
        <v>2.0</v>
      </c>
      <c r="BJ16" s="9">
        <v>4.0</v>
      </c>
      <c r="BK16" s="9">
        <v>1.0</v>
      </c>
      <c r="BL16" s="9">
        <v>0.0</v>
      </c>
    </row>
    <row r="17">
      <c r="A17" s="8" t="s">
        <v>103</v>
      </c>
      <c r="B17" s="8" t="s">
        <v>110</v>
      </c>
      <c r="C17" s="8" t="s">
        <v>111</v>
      </c>
      <c r="D17" s="9" t="s">
        <v>112</v>
      </c>
      <c r="E17" s="8" t="s">
        <v>68</v>
      </c>
      <c r="F17" s="19">
        <v>723682.0</v>
      </c>
      <c r="G17" s="18">
        <v>9180.0</v>
      </c>
      <c r="H17" s="9">
        <v>84.0</v>
      </c>
      <c r="I17" s="9">
        <v>104.0</v>
      </c>
      <c r="J17" s="9">
        <v>1.45</v>
      </c>
      <c r="K17" s="16">
        <v>4390.46662</v>
      </c>
      <c r="L17" s="13">
        <v>3429.0</v>
      </c>
      <c r="M17" s="14">
        <v>32.61833333333333</v>
      </c>
      <c r="N17" s="9">
        <f t="shared" si="1"/>
        <v>76</v>
      </c>
      <c r="O17" s="9">
        <f t="shared" si="2"/>
        <v>38</v>
      </c>
      <c r="P17" s="9">
        <f t="shared" si="3"/>
        <v>565</v>
      </c>
      <c r="Q17" s="9">
        <f t="shared" si="4"/>
        <v>81</v>
      </c>
      <c r="R17" s="9">
        <f t="shared" si="5"/>
        <v>457</v>
      </c>
      <c r="S17" s="9">
        <f t="shared" si="6"/>
        <v>95</v>
      </c>
      <c r="T17" s="9">
        <f t="shared" si="7"/>
        <v>10.50185026</v>
      </c>
      <c r="U17" s="9">
        <f t="shared" si="8"/>
        <v>5.25092513</v>
      </c>
      <c r="V17" s="9"/>
      <c r="W17" s="9"/>
      <c r="X17" s="9"/>
      <c r="Y17" s="9"/>
      <c r="Z17" s="9">
        <v>28.683590349070585</v>
      </c>
      <c r="AA17" s="9">
        <v>28.872065643333332</v>
      </c>
      <c r="AB17" s="9">
        <v>3.384102E-7</v>
      </c>
      <c r="AC17" s="15">
        <v>21.0</v>
      </c>
      <c r="AD17" s="15">
        <v>11.0</v>
      </c>
      <c r="AE17" s="15">
        <v>23.0</v>
      </c>
      <c r="AF17" s="15">
        <v>13.0</v>
      </c>
      <c r="AG17" s="15">
        <v>3.0</v>
      </c>
      <c r="AH17" s="15">
        <v>5.0</v>
      </c>
      <c r="AI17" s="15">
        <v>122.0</v>
      </c>
      <c r="AJ17" s="15">
        <v>93.0</v>
      </c>
      <c r="AK17" s="15">
        <v>125.0</v>
      </c>
      <c r="AL17" s="15">
        <v>149.0</v>
      </c>
      <c r="AM17" s="15">
        <v>76.0</v>
      </c>
      <c r="AN17" s="15">
        <v>0.0</v>
      </c>
      <c r="AO17" s="15">
        <v>97.0</v>
      </c>
      <c r="AP17" s="15">
        <v>81.0</v>
      </c>
      <c r="AQ17" s="15">
        <v>78.0</v>
      </c>
      <c r="AR17" s="15">
        <v>101.0</v>
      </c>
      <c r="AS17" s="15">
        <v>100.0</v>
      </c>
      <c r="AT17" s="15">
        <v>0.0</v>
      </c>
      <c r="AU17" s="15">
        <v>3.0</v>
      </c>
      <c r="AV17" s="15">
        <v>1.0</v>
      </c>
      <c r="AW17" s="15">
        <v>2.0</v>
      </c>
      <c r="AX17" s="15">
        <v>7.0</v>
      </c>
      <c r="AY17" s="15">
        <v>9.0</v>
      </c>
      <c r="AZ17" s="15">
        <v>16.0</v>
      </c>
      <c r="BA17" s="15">
        <v>19.0</v>
      </c>
      <c r="BB17" s="15">
        <v>24.0</v>
      </c>
      <c r="BC17" s="15">
        <v>11.0</v>
      </c>
      <c r="BD17" s="15">
        <v>20.0</v>
      </c>
      <c r="BE17" s="15">
        <v>7.0</v>
      </c>
      <c r="BF17" s="15">
        <v>0.0</v>
      </c>
      <c r="BG17" s="15">
        <v>18.0</v>
      </c>
      <c r="BH17" s="15">
        <v>17.0</v>
      </c>
      <c r="BI17" s="15">
        <v>19.0</v>
      </c>
      <c r="BJ17" s="15">
        <v>20.0</v>
      </c>
      <c r="BK17" s="15">
        <v>21.0</v>
      </c>
      <c r="BL17" s="9">
        <v>0.0</v>
      </c>
    </row>
    <row r="18">
      <c r="A18" s="8" t="s">
        <v>113</v>
      </c>
      <c r="B18" s="8" t="s">
        <v>114</v>
      </c>
      <c r="C18" s="8" t="s">
        <v>115</v>
      </c>
      <c r="D18" s="9" t="s">
        <v>116</v>
      </c>
      <c r="E18" s="8" t="s">
        <v>68</v>
      </c>
      <c r="F18" s="19">
        <v>348051.0</v>
      </c>
      <c r="G18" s="18">
        <v>20553.0</v>
      </c>
      <c r="H18" s="9">
        <v>29.0</v>
      </c>
      <c r="I18" s="9">
        <v>503.0</v>
      </c>
      <c r="J18" s="9">
        <v>7.34</v>
      </c>
      <c r="K18" s="16">
        <v>108066.0958</v>
      </c>
      <c r="L18" s="13">
        <v>180405.0</v>
      </c>
      <c r="M18" s="14">
        <v>92.58181818181818</v>
      </c>
      <c r="N18" s="9">
        <f t="shared" si="1"/>
        <v>541</v>
      </c>
      <c r="O18" s="9">
        <f t="shared" si="2"/>
        <v>864</v>
      </c>
      <c r="P18" s="9">
        <f t="shared" si="3"/>
        <v>277</v>
      </c>
      <c r="Q18" s="9">
        <f t="shared" si="4"/>
        <v>130</v>
      </c>
      <c r="R18" s="9">
        <f t="shared" si="5"/>
        <v>136</v>
      </c>
      <c r="S18" s="9">
        <f t="shared" si="6"/>
        <v>43</v>
      </c>
      <c r="T18" s="9">
        <f t="shared" si="7"/>
        <v>155.4369906</v>
      </c>
      <c r="U18" s="9">
        <f t="shared" si="8"/>
        <v>248.2394821</v>
      </c>
      <c r="V18" s="9"/>
      <c r="W18" s="9"/>
      <c r="X18" s="9"/>
      <c r="Y18" s="9"/>
      <c r="Z18" s="9">
        <v>58.5068691266485</v>
      </c>
      <c r="AA18" s="9">
        <v>60.54285495833333</v>
      </c>
      <c r="AB18" s="9">
        <v>1.4551E-7</v>
      </c>
      <c r="AC18" s="15">
        <v>84.0</v>
      </c>
      <c r="AD18" s="15">
        <v>74.0</v>
      </c>
      <c r="AE18" s="15">
        <v>48.0</v>
      </c>
      <c r="AF18" s="15">
        <v>134.0</v>
      </c>
      <c r="AG18" s="15">
        <v>97.0</v>
      </c>
      <c r="AH18" s="15">
        <v>104.0</v>
      </c>
      <c r="AI18" s="15">
        <v>94.0</v>
      </c>
      <c r="AJ18" s="15">
        <v>71.0</v>
      </c>
      <c r="AK18" s="15">
        <v>74.0</v>
      </c>
      <c r="AL18" s="15">
        <v>38.0</v>
      </c>
      <c r="AM18" s="9">
        <v>0.0</v>
      </c>
      <c r="AN18" s="15">
        <v>0.0</v>
      </c>
      <c r="AO18" s="15">
        <v>23.0</v>
      </c>
      <c r="AP18" s="15">
        <v>23.0</v>
      </c>
      <c r="AQ18" s="15">
        <v>32.0</v>
      </c>
      <c r="AR18" s="15">
        <v>31.0</v>
      </c>
      <c r="AS18" s="9">
        <v>27.0</v>
      </c>
      <c r="AT18" s="15">
        <v>0.0</v>
      </c>
      <c r="AU18" s="15">
        <v>128.0</v>
      </c>
      <c r="AV18" s="15">
        <v>136.0</v>
      </c>
      <c r="AW18" s="15">
        <v>74.0</v>
      </c>
      <c r="AX18" s="15">
        <v>222.0</v>
      </c>
      <c r="AY18" s="15">
        <v>161.0</v>
      </c>
      <c r="AZ18" s="15">
        <v>143.0</v>
      </c>
      <c r="BA18" s="15">
        <v>50.0</v>
      </c>
      <c r="BB18" s="15">
        <v>49.0</v>
      </c>
      <c r="BC18" s="15">
        <v>24.0</v>
      </c>
      <c r="BD18" s="15">
        <v>7.0</v>
      </c>
      <c r="BE18" s="9">
        <v>0.0</v>
      </c>
      <c r="BF18" s="15">
        <v>0.0</v>
      </c>
      <c r="BG18" s="15">
        <v>10.0</v>
      </c>
      <c r="BH18" s="15">
        <v>9.0</v>
      </c>
      <c r="BI18" s="15">
        <v>6.0</v>
      </c>
      <c r="BJ18" s="15">
        <v>12.0</v>
      </c>
      <c r="BK18" s="9">
        <v>6.0</v>
      </c>
      <c r="BL18" s="9">
        <v>0.0</v>
      </c>
    </row>
    <row r="19">
      <c r="A19" s="8" t="s">
        <v>113</v>
      </c>
      <c r="B19" s="8" t="s">
        <v>117</v>
      </c>
      <c r="C19" s="8" t="s">
        <v>118</v>
      </c>
      <c r="D19" s="9" t="s">
        <v>119</v>
      </c>
      <c r="E19" s="8" t="s">
        <v>68</v>
      </c>
      <c r="F19" s="19">
        <v>71922.0</v>
      </c>
      <c r="G19" s="18">
        <v>6307.0</v>
      </c>
      <c r="H19" s="9">
        <v>19.0</v>
      </c>
      <c r="I19" s="20">
        <v>219.0</v>
      </c>
      <c r="J19" s="20">
        <v>3.38</v>
      </c>
      <c r="K19" s="16">
        <v>8726.351383</v>
      </c>
      <c r="L19" s="13">
        <v>9162.0</v>
      </c>
      <c r="M19" s="14">
        <v>71.7725</v>
      </c>
      <c r="N19" s="9">
        <f t="shared" si="1"/>
        <v>57</v>
      </c>
      <c r="O19" s="9">
        <f t="shared" si="2"/>
        <v>109</v>
      </c>
      <c r="P19" s="9">
        <f t="shared" si="3"/>
        <v>114</v>
      </c>
      <c r="Q19" s="9">
        <f t="shared" si="4"/>
        <v>25</v>
      </c>
      <c r="R19" s="9">
        <f t="shared" si="5"/>
        <v>36</v>
      </c>
      <c r="S19" s="9">
        <f t="shared" si="6"/>
        <v>12</v>
      </c>
      <c r="T19" s="9">
        <f t="shared" si="7"/>
        <v>79.25252357</v>
      </c>
      <c r="U19" s="9">
        <f t="shared" si="8"/>
        <v>151.5530714</v>
      </c>
      <c r="V19" s="9"/>
      <c r="W19" s="9"/>
      <c r="X19" s="9"/>
      <c r="Y19" s="9"/>
      <c r="Z19" s="9">
        <v>66.03300572720761</v>
      </c>
      <c r="AA19" s="9">
        <v>41.220337955666665</v>
      </c>
      <c r="AB19" s="9">
        <v>1.984734E-6</v>
      </c>
      <c r="AC19" s="15">
        <v>6.0</v>
      </c>
      <c r="AD19" s="15">
        <v>6.0</v>
      </c>
      <c r="AE19" s="15">
        <v>12.0</v>
      </c>
      <c r="AF19" s="15">
        <v>15.0</v>
      </c>
      <c r="AG19" s="15">
        <v>9.0</v>
      </c>
      <c r="AH19" s="15">
        <v>9.0</v>
      </c>
      <c r="AI19" s="15">
        <v>21.0</v>
      </c>
      <c r="AJ19" s="15">
        <v>28.0</v>
      </c>
      <c r="AK19" s="15">
        <v>33.0</v>
      </c>
      <c r="AL19" s="15">
        <v>32.0</v>
      </c>
      <c r="AM19" s="9">
        <v>0.0</v>
      </c>
      <c r="AN19" s="15">
        <v>0.0</v>
      </c>
      <c r="AO19" s="15">
        <v>7.0</v>
      </c>
      <c r="AP19" s="15">
        <v>2.0</v>
      </c>
      <c r="AQ19" s="15">
        <v>11.0</v>
      </c>
      <c r="AR19" s="15">
        <v>6.0</v>
      </c>
      <c r="AS19" s="9">
        <v>10.0</v>
      </c>
      <c r="AT19" s="15">
        <v>0.0</v>
      </c>
      <c r="AU19" s="15">
        <v>18.0</v>
      </c>
      <c r="AV19" s="15">
        <v>25.0</v>
      </c>
      <c r="AW19" s="15">
        <v>15.0</v>
      </c>
      <c r="AX19" s="15">
        <v>20.0</v>
      </c>
      <c r="AY19" s="15">
        <v>14.0</v>
      </c>
      <c r="AZ19" s="15">
        <v>17.0</v>
      </c>
      <c r="BA19" s="15">
        <v>5.0</v>
      </c>
      <c r="BB19" s="15">
        <v>11.0</v>
      </c>
      <c r="BC19" s="15">
        <v>7.0</v>
      </c>
      <c r="BD19" s="15">
        <v>2.0</v>
      </c>
      <c r="BE19" s="9">
        <v>0.0</v>
      </c>
      <c r="BF19" s="15">
        <v>0.0</v>
      </c>
      <c r="BG19" s="15">
        <v>1.0</v>
      </c>
      <c r="BH19" s="15">
        <v>2.0</v>
      </c>
      <c r="BI19" s="15">
        <v>3.0</v>
      </c>
      <c r="BJ19" s="15">
        <v>3.0</v>
      </c>
      <c r="BK19" s="9">
        <v>3.0</v>
      </c>
      <c r="BL19" s="9">
        <v>0.0</v>
      </c>
    </row>
    <row r="20">
      <c r="A20" s="8" t="s">
        <v>113</v>
      </c>
      <c r="B20" s="8" t="s">
        <v>120</v>
      </c>
      <c r="C20" s="8" t="s">
        <v>121</v>
      </c>
      <c r="D20" s="9" t="s">
        <v>122</v>
      </c>
      <c r="E20" s="8" t="s">
        <v>68</v>
      </c>
      <c r="F20" s="19">
        <v>105705.0</v>
      </c>
      <c r="G20" s="18">
        <v>13297.0</v>
      </c>
      <c r="H20" s="9">
        <v>31.0</v>
      </c>
      <c r="I20" s="20">
        <v>370.0</v>
      </c>
      <c r="J20" s="20">
        <v>6.15</v>
      </c>
      <c r="K20" s="16">
        <v>20806.80144</v>
      </c>
      <c r="L20" s="13">
        <v>14675.0</v>
      </c>
      <c r="M20" s="14">
        <v>115.1225</v>
      </c>
      <c r="N20" s="9">
        <f t="shared" si="1"/>
        <v>89</v>
      </c>
      <c r="O20" s="9">
        <f t="shared" si="2"/>
        <v>162</v>
      </c>
      <c r="P20" s="9">
        <f t="shared" si="3"/>
        <v>106</v>
      </c>
      <c r="Q20" s="9">
        <f t="shared" si="4"/>
        <v>60</v>
      </c>
      <c r="R20" s="9">
        <f t="shared" si="5"/>
        <v>48</v>
      </c>
      <c r="S20" s="9">
        <f t="shared" si="6"/>
        <v>6</v>
      </c>
      <c r="T20" s="9">
        <f t="shared" si="7"/>
        <v>84.19658484</v>
      </c>
      <c r="U20" s="9">
        <f t="shared" si="8"/>
        <v>153.256705</v>
      </c>
      <c r="V20" s="9"/>
      <c r="W20" s="9"/>
      <c r="X20" s="9"/>
      <c r="Y20" s="9"/>
      <c r="Z20" s="9">
        <v>47.978803130394</v>
      </c>
      <c r="AA20" s="9">
        <v>41.72337127833333</v>
      </c>
      <c r="AB20" s="9">
        <v>1.100434E-7</v>
      </c>
      <c r="AC20" s="15">
        <v>15.0</v>
      </c>
      <c r="AD20" s="15">
        <v>8.0</v>
      </c>
      <c r="AE20" s="15">
        <v>17.0</v>
      </c>
      <c r="AF20" s="15">
        <v>22.0</v>
      </c>
      <c r="AG20" s="15">
        <v>14.0</v>
      </c>
      <c r="AH20" s="15">
        <v>13.0</v>
      </c>
      <c r="AI20" s="15">
        <v>27.0</v>
      </c>
      <c r="AJ20" s="15">
        <v>18.0</v>
      </c>
      <c r="AK20" s="15">
        <v>26.0</v>
      </c>
      <c r="AL20" s="15">
        <v>17.0</v>
      </c>
      <c r="AM20" s="15">
        <v>18.0</v>
      </c>
      <c r="AN20" s="15">
        <v>0.0</v>
      </c>
      <c r="AO20" s="15">
        <v>13.0</v>
      </c>
      <c r="AP20" s="15">
        <v>7.0</v>
      </c>
      <c r="AQ20" s="15">
        <v>7.0</v>
      </c>
      <c r="AR20" s="15">
        <v>7.0</v>
      </c>
      <c r="AS20" s="15">
        <v>14.0</v>
      </c>
      <c r="AT20" s="15">
        <v>0.0</v>
      </c>
      <c r="AU20" s="15">
        <v>35.0</v>
      </c>
      <c r="AV20" s="15">
        <v>28.0</v>
      </c>
      <c r="AW20" s="15">
        <v>21.0</v>
      </c>
      <c r="AX20" s="15">
        <v>43.0</v>
      </c>
      <c r="AY20" s="15">
        <v>19.0</v>
      </c>
      <c r="AZ20" s="15">
        <v>16.0</v>
      </c>
      <c r="BA20" s="15">
        <v>7.0</v>
      </c>
      <c r="BB20" s="15">
        <v>16.0</v>
      </c>
      <c r="BC20" s="15">
        <v>13.0</v>
      </c>
      <c r="BD20" s="15">
        <v>17.0</v>
      </c>
      <c r="BE20" s="15">
        <v>7.0</v>
      </c>
      <c r="BF20" s="15">
        <v>0.0</v>
      </c>
      <c r="BG20" s="15">
        <v>1.0</v>
      </c>
      <c r="BH20" s="15">
        <v>1.0</v>
      </c>
      <c r="BI20" s="15">
        <v>1.0</v>
      </c>
      <c r="BJ20" s="15">
        <v>1.0</v>
      </c>
      <c r="BK20" s="15">
        <v>2.0</v>
      </c>
      <c r="BL20" s="9">
        <v>0.0</v>
      </c>
    </row>
    <row r="21" ht="15.75" customHeight="1">
      <c r="A21" s="8" t="s">
        <v>64</v>
      </c>
      <c r="B21" s="8" t="s">
        <v>65</v>
      </c>
      <c r="C21" s="8" t="s">
        <v>123</v>
      </c>
      <c r="D21" s="9" t="s">
        <v>67</v>
      </c>
      <c r="E21" s="8" t="s">
        <v>124</v>
      </c>
      <c r="F21" s="10">
        <v>37648.0</v>
      </c>
      <c r="G21" s="18">
        <v>16093.0</v>
      </c>
      <c r="H21" s="9">
        <v>3.0</v>
      </c>
      <c r="I21" s="20">
        <v>1581.0</v>
      </c>
      <c r="J21" s="20">
        <v>40.5</v>
      </c>
      <c r="K21" s="21">
        <v>0.0</v>
      </c>
      <c r="L21" s="13">
        <v>1034.0</v>
      </c>
      <c r="M21" s="14">
        <v>135.95499999999996</v>
      </c>
      <c r="N21" s="9">
        <f t="shared" si="1"/>
        <v>0</v>
      </c>
      <c r="O21" s="9">
        <f t="shared" si="2"/>
        <v>0</v>
      </c>
      <c r="P21" s="9">
        <f t="shared" si="3"/>
        <v>2</v>
      </c>
      <c r="Q21" s="9">
        <f t="shared" si="4"/>
        <v>10</v>
      </c>
      <c r="R21" s="9">
        <f t="shared" si="5"/>
        <v>2</v>
      </c>
      <c r="S21" s="9">
        <f t="shared" si="6"/>
        <v>8</v>
      </c>
      <c r="T21" s="9">
        <f t="shared" si="7"/>
        <v>0</v>
      </c>
      <c r="U21" s="9">
        <f t="shared" si="8"/>
        <v>0</v>
      </c>
      <c r="V21" s="9"/>
      <c r="W21" s="9"/>
      <c r="X21" s="9"/>
      <c r="Y21" s="9"/>
      <c r="Z21" s="9">
        <v>15.059692270806833</v>
      </c>
      <c r="AA21" s="9">
        <v>27.70704372656667</v>
      </c>
      <c r="AB21" s="9">
        <v>1.924673E-9</v>
      </c>
      <c r="AC21" s="9">
        <v>0.0</v>
      </c>
      <c r="AD21" s="9">
        <v>0.0</v>
      </c>
      <c r="AE21" s="9">
        <v>0.0</v>
      </c>
      <c r="AF21" s="9">
        <v>0.0</v>
      </c>
      <c r="AG21" s="9">
        <v>0.0</v>
      </c>
      <c r="AH21" s="9">
        <v>0.0</v>
      </c>
      <c r="AI21" s="9">
        <v>0.0</v>
      </c>
      <c r="AJ21" s="15">
        <v>2.0</v>
      </c>
      <c r="AK21" s="9">
        <v>0.0</v>
      </c>
      <c r="AL21" s="9">
        <v>0.0</v>
      </c>
      <c r="AM21" s="9">
        <v>0.0</v>
      </c>
      <c r="AN21" s="15">
        <v>0.0</v>
      </c>
      <c r="AO21" s="9">
        <v>0.0</v>
      </c>
      <c r="AP21" s="15">
        <v>1.0</v>
      </c>
      <c r="AQ21" s="9">
        <v>1.0</v>
      </c>
      <c r="AR21" s="9">
        <v>0.0</v>
      </c>
      <c r="AS21" s="9">
        <v>0.0</v>
      </c>
      <c r="AT21" s="15">
        <v>0.0</v>
      </c>
      <c r="AU21" s="9">
        <v>0.0</v>
      </c>
      <c r="AV21" s="9">
        <v>0.0</v>
      </c>
      <c r="AW21" s="9">
        <v>0.0</v>
      </c>
      <c r="AX21" s="9">
        <v>0.0</v>
      </c>
      <c r="AY21" s="9">
        <v>0.0</v>
      </c>
      <c r="AZ21" s="9">
        <v>0.0</v>
      </c>
      <c r="BA21" s="15">
        <v>1.0</v>
      </c>
      <c r="BB21" s="15">
        <v>1.0</v>
      </c>
      <c r="BC21" s="15">
        <v>5.0</v>
      </c>
      <c r="BD21" s="15">
        <v>3.0</v>
      </c>
      <c r="BE21" s="9">
        <v>0.0</v>
      </c>
      <c r="BF21" s="15">
        <v>0.0</v>
      </c>
      <c r="BG21" s="15">
        <v>1.0</v>
      </c>
      <c r="BH21" s="15">
        <v>1.0</v>
      </c>
      <c r="BI21" s="15">
        <v>2.0</v>
      </c>
      <c r="BJ21" s="15">
        <v>3.0</v>
      </c>
      <c r="BK21" s="9">
        <v>1.0</v>
      </c>
      <c r="BL21" s="9">
        <v>0.0</v>
      </c>
    </row>
    <row r="22" ht="15.75" customHeight="1">
      <c r="A22" s="8" t="s">
        <v>64</v>
      </c>
      <c r="B22" s="8" t="s">
        <v>69</v>
      </c>
      <c r="C22" s="8" t="s">
        <v>125</v>
      </c>
      <c r="D22" s="9" t="s">
        <v>71</v>
      </c>
      <c r="E22" s="8" t="s">
        <v>124</v>
      </c>
      <c r="F22" s="10">
        <v>27198.0</v>
      </c>
      <c r="G22" s="18">
        <v>2048.0</v>
      </c>
      <c r="H22" s="9">
        <v>4.0</v>
      </c>
      <c r="I22" s="20">
        <v>243.0</v>
      </c>
      <c r="J22" s="20">
        <v>4.06</v>
      </c>
      <c r="K22" s="16">
        <v>43.22608644</v>
      </c>
      <c r="L22" s="13">
        <v>18098.0</v>
      </c>
      <c r="M22" s="14">
        <v>120.15692307692308</v>
      </c>
      <c r="N22" s="9">
        <f t="shared" si="1"/>
        <v>10</v>
      </c>
      <c r="O22" s="9">
        <f t="shared" si="2"/>
        <v>5</v>
      </c>
      <c r="P22" s="9">
        <f t="shared" si="3"/>
        <v>7</v>
      </c>
      <c r="Q22" s="9">
        <f t="shared" si="4"/>
        <v>16</v>
      </c>
      <c r="R22" s="9">
        <f t="shared" si="5"/>
        <v>0</v>
      </c>
      <c r="S22" s="9">
        <f t="shared" si="6"/>
        <v>6</v>
      </c>
      <c r="T22" s="9">
        <f t="shared" si="7"/>
        <v>36.76740937</v>
      </c>
      <c r="U22" s="9">
        <f t="shared" si="8"/>
        <v>18.38370468</v>
      </c>
      <c r="V22" s="9"/>
      <c r="W22" s="9"/>
      <c r="X22" s="9"/>
      <c r="Y22" s="9"/>
      <c r="Z22" s="9">
        <v>16.09949128863165</v>
      </c>
      <c r="AA22" s="9">
        <v>30.974079538833333</v>
      </c>
      <c r="AB22" s="9">
        <v>3.210714E-9</v>
      </c>
      <c r="AC22" s="9">
        <v>0.0</v>
      </c>
      <c r="AD22" s="15">
        <v>1.0</v>
      </c>
      <c r="AE22" s="15">
        <v>2.0</v>
      </c>
      <c r="AF22" s="9">
        <v>0.0</v>
      </c>
      <c r="AG22" s="15">
        <v>4.0</v>
      </c>
      <c r="AH22" s="15">
        <v>3.0</v>
      </c>
      <c r="AI22" s="9">
        <v>0.0</v>
      </c>
      <c r="AJ22" s="9">
        <v>0.0</v>
      </c>
      <c r="AK22" s="15">
        <v>4.0</v>
      </c>
      <c r="AL22" s="15">
        <v>3.0</v>
      </c>
      <c r="AM22" s="9">
        <v>0.0</v>
      </c>
      <c r="AN22" s="15">
        <v>0.0</v>
      </c>
      <c r="AO22" s="9">
        <v>0.0</v>
      </c>
      <c r="AP22" s="9">
        <v>0.0</v>
      </c>
      <c r="AQ22" s="15">
        <v>0.0</v>
      </c>
      <c r="AR22" s="15">
        <v>0.0</v>
      </c>
      <c r="AS22" s="9">
        <v>0.0</v>
      </c>
      <c r="AT22" s="15">
        <v>0.0</v>
      </c>
      <c r="AU22" s="15">
        <v>1.0</v>
      </c>
      <c r="AV22" s="9">
        <v>0.0</v>
      </c>
      <c r="AW22" s="9">
        <v>0.0</v>
      </c>
      <c r="AX22" s="15">
        <v>2.0</v>
      </c>
      <c r="AY22" s="9">
        <v>0.0</v>
      </c>
      <c r="AZ22" s="15">
        <v>2.0</v>
      </c>
      <c r="BA22" s="15">
        <v>4.0</v>
      </c>
      <c r="BB22" s="15">
        <v>3.0</v>
      </c>
      <c r="BC22" s="15">
        <v>4.0</v>
      </c>
      <c r="BD22" s="15">
        <v>5.0</v>
      </c>
      <c r="BE22" s="9">
        <v>0.0</v>
      </c>
      <c r="BF22" s="15">
        <v>0.0</v>
      </c>
      <c r="BG22" s="15">
        <v>1.0</v>
      </c>
      <c r="BH22" s="15">
        <v>0.0</v>
      </c>
      <c r="BI22" s="15">
        <v>1.0</v>
      </c>
      <c r="BJ22" s="15">
        <v>0.0</v>
      </c>
      <c r="BK22" s="9">
        <v>4.0</v>
      </c>
      <c r="BL22" s="9">
        <v>0.0</v>
      </c>
    </row>
    <row r="23" ht="15.75" customHeight="1">
      <c r="A23" s="8" t="s">
        <v>64</v>
      </c>
      <c r="B23" s="8" t="s">
        <v>72</v>
      </c>
      <c r="C23" s="8" t="s">
        <v>126</v>
      </c>
      <c r="D23" s="9" t="s">
        <v>74</v>
      </c>
      <c r="E23" s="8" t="s">
        <v>124</v>
      </c>
      <c r="F23" s="10">
        <v>5827.0</v>
      </c>
      <c r="G23" s="18">
        <v>9113.0</v>
      </c>
      <c r="H23" s="9">
        <v>3.0</v>
      </c>
      <c r="I23" s="20">
        <v>455.0</v>
      </c>
      <c r="J23" s="20">
        <v>8.18</v>
      </c>
      <c r="K23" s="16">
        <v>11483.68675</v>
      </c>
      <c r="L23" s="13">
        <v>18575.0</v>
      </c>
      <c r="M23" s="13">
        <v>180.19</v>
      </c>
      <c r="N23" s="9">
        <f t="shared" si="1"/>
        <v>1</v>
      </c>
      <c r="O23" s="9">
        <f t="shared" si="2"/>
        <v>1</v>
      </c>
      <c r="P23" s="9">
        <f t="shared" si="3"/>
        <v>2</v>
      </c>
      <c r="Q23" s="9">
        <f t="shared" si="4"/>
        <v>1</v>
      </c>
      <c r="R23" s="9">
        <f t="shared" si="5"/>
        <v>0</v>
      </c>
      <c r="S23" s="9">
        <f t="shared" si="6"/>
        <v>1</v>
      </c>
      <c r="T23" s="9">
        <f t="shared" si="7"/>
        <v>17.16148962</v>
      </c>
      <c r="U23" s="9">
        <f t="shared" si="8"/>
        <v>17.16148962</v>
      </c>
      <c r="V23" s="9"/>
      <c r="W23" s="9"/>
      <c r="X23" s="9"/>
      <c r="Y23" s="9"/>
      <c r="Z23" s="9">
        <v>12.55531389713091</v>
      </c>
      <c r="AA23" s="9">
        <v>12.031245328666666</v>
      </c>
      <c r="AB23" s="9">
        <v>1.081379E-8</v>
      </c>
      <c r="AC23" s="9">
        <v>0.0</v>
      </c>
      <c r="AD23" s="9">
        <v>0.0</v>
      </c>
      <c r="AE23" s="9">
        <v>0.0</v>
      </c>
      <c r="AF23" s="9">
        <v>0.0</v>
      </c>
      <c r="AG23" s="9">
        <v>0.0</v>
      </c>
      <c r="AH23" s="15">
        <v>1.0</v>
      </c>
      <c r="AI23" s="15">
        <v>1.0</v>
      </c>
      <c r="AJ23" s="9">
        <v>0.0</v>
      </c>
      <c r="AK23" s="9">
        <v>0.0</v>
      </c>
      <c r="AL23" s="9">
        <v>0.0</v>
      </c>
      <c r="AM23" s="15">
        <v>1.0</v>
      </c>
      <c r="AN23" s="15">
        <v>0.0</v>
      </c>
      <c r="AO23" s="15">
        <v>0.0</v>
      </c>
      <c r="AP23" s="9">
        <v>0.0</v>
      </c>
      <c r="AQ23" s="9">
        <v>0.0</v>
      </c>
      <c r="AR23" s="9">
        <v>0.0</v>
      </c>
      <c r="AS23" s="15">
        <v>0.0</v>
      </c>
      <c r="AT23" s="15">
        <v>0.0</v>
      </c>
      <c r="AU23" s="9">
        <v>0.0</v>
      </c>
      <c r="AV23" s="9">
        <v>0.0</v>
      </c>
      <c r="AW23" s="9">
        <v>0.0</v>
      </c>
      <c r="AX23" s="9">
        <v>0.0</v>
      </c>
      <c r="AY23" s="15">
        <v>1.0</v>
      </c>
      <c r="AZ23" s="9">
        <v>0.0</v>
      </c>
      <c r="BA23" s="9">
        <v>0.0</v>
      </c>
      <c r="BB23" s="9">
        <v>0.0</v>
      </c>
      <c r="BC23" s="15">
        <v>1.0</v>
      </c>
      <c r="BD23" s="9">
        <v>0.0</v>
      </c>
      <c r="BE23" s="9">
        <v>0.0</v>
      </c>
      <c r="BF23" s="15">
        <v>0.0</v>
      </c>
      <c r="BG23" s="9">
        <v>1.0</v>
      </c>
      <c r="BH23" s="9">
        <v>0.0</v>
      </c>
      <c r="BI23" s="15">
        <v>0.0</v>
      </c>
      <c r="BJ23" s="9">
        <v>0.0</v>
      </c>
      <c r="BK23" s="9">
        <v>0.0</v>
      </c>
      <c r="BL23" s="9">
        <v>0.0</v>
      </c>
    </row>
    <row r="24" ht="15.75" customHeight="1">
      <c r="A24" s="8" t="s">
        <v>75</v>
      </c>
      <c r="B24" s="8" t="s">
        <v>76</v>
      </c>
      <c r="C24" s="8" t="s">
        <v>127</v>
      </c>
      <c r="D24" s="9" t="s">
        <v>78</v>
      </c>
      <c r="E24" s="8" t="s">
        <v>124</v>
      </c>
      <c r="F24" s="10">
        <v>26943.0</v>
      </c>
      <c r="G24" s="18">
        <v>10018.0</v>
      </c>
      <c r="H24" s="9">
        <v>4.0</v>
      </c>
      <c r="I24" s="20">
        <v>390.0</v>
      </c>
      <c r="J24" s="20">
        <v>7.17</v>
      </c>
      <c r="K24" s="16">
        <v>3784.626359</v>
      </c>
      <c r="L24" s="13">
        <v>3629.0</v>
      </c>
      <c r="M24" s="14">
        <v>153.71166666666667</v>
      </c>
      <c r="N24" s="9">
        <f t="shared" si="1"/>
        <v>2</v>
      </c>
      <c r="O24" s="9">
        <f t="shared" si="2"/>
        <v>4</v>
      </c>
      <c r="P24" s="9">
        <f t="shared" si="3"/>
        <v>2</v>
      </c>
      <c r="Q24" s="9">
        <f t="shared" si="4"/>
        <v>7</v>
      </c>
      <c r="R24" s="9">
        <f t="shared" si="5"/>
        <v>4</v>
      </c>
      <c r="S24" s="9">
        <f t="shared" si="6"/>
        <v>6</v>
      </c>
      <c r="T24" s="9">
        <f t="shared" si="7"/>
        <v>7.423078351</v>
      </c>
      <c r="U24" s="9">
        <f t="shared" si="8"/>
        <v>14.8461567</v>
      </c>
      <c r="V24" s="9"/>
      <c r="W24" s="9"/>
      <c r="X24" s="9"/>
      <c r="Y24" s="9"/>
      <c r="Z24" s="9">
        <v>64.32421713241662</v>
      </c>
      <c r="AA24" s="9">
        <v>17.370834873166668</v>
      </c>
      <c r="AB24" s="9">
        <v>1.213403E-8</v>
      </c>
      <c r="AC24" s="9">
        <v>0.0</v>
      </c>
      <c r="AD24" s="9">
        <v>0.0</v>
      </c>
      <c r="AE24" s="9">
        <v>0.0</v>
      </c>
      <c r="AF24" s="9">
        <v>0.0</v>
      </c>
      <c r="AG24" s="15">
        <v>1.0</v>
      </c>
      <c r="AH24" s="15">
        <v>1.0</v>
      </c>
      <c r="AI24" s="9">
        <v>0.0</v>
      </c>
      <c r="AJ24" s="9">
        <v>0.0</v>
      </c>
      <c r="AK24" s="9">
        <v>0.0</v>
      </c>
      <c r="AL24" s="15">
        <v>1.0</v>
      </c>
      <c r="AM24" s="15">
        <v>1.0</v>
      </c>
      <c r="AN24" s="15">
        <v>0.0</v>
      </c>
      <c r="AO24" s="9">
        <v>0.0</v>
      </c>
      <c r="AP24" s="9">
        <v>1.0</v>
      </c>
      <c r="AQ24" s="9">
        <v>2.0</v>
      </c>
      <c r="AR24" s="15">
        <v>1.0</v>
      </c>
      <c r="AS24" s="15">
        <v>0.0</v>
      </c>
      <c r="AT24" s="15">
        <v>0.0</v>
      </c>
      <c r="AU24" s="9">
        <v>0.0</v>
      </c>
      <c r="AV24" s="9">
        <v>0.0</v>
      </c>
      <c r="AW24" s="9">
        <v>0.0</v>
      </c>
      <c r="AX24" s="9">
        <v>0.0</v>
      </c>
      <c r="AY24" s="15">
        <v>4.0</v>
      </c>
      <c r="AZ24" s="9">
        <v>0.0</v>
      </c>
      <c r="BA24" s="15">
        <v>2.0</v>
      </c>
      <c r="BB24" s="9">
        <v>0.0</v>
      </c>
      <c r="BC24" s="15">
        <v>2.0</v>
      </c>
      <c r="BD24" s="15">
        <v>3.0</v>
      </c>
      <c r="BE24" s="9">
        <v>0.0</v>
      </c>
      <c r="BF24" s="15">
        <v>0.0</v>
      </c>
      <c r="BG24" s="15">
        <v>0.0</v>
      </c>
      <c r="BH24" s="9">
        <v>0.0</v>
      </c>
      <c r="BI24" s="15">
        <v>2.0</v>
      </c>
      <c r="BJ24" s="15">
        <v>4.0</v>
      </c>
      <c r="BK24" s="9">
        <v>0.0</v>
      </c>
      <c r="BL24" s="9">
        <v>0.0</v>
      </c>
    </row>
    <row r="25" ht="15.75" customHeight="1">
      <c r="A25" s="8" t="s">
        <v>75</v>
      </c>
      <c r="B25" s="8" t="s">
        <v>79</v>
      </c>
      <c r="C25" s="8" t="s">
        <v>128</v>
      </c>
      <c r="D25" s="9" t="s">
        <v>81</v>
      </c>
      <c r="E25" s="8" t="s">
        <v>124</v>
      </c>
      <c r="F25" s="10">
        <v>10243.0</v>
      </c>
      <c r="G25" s="18">
        <v>4441.0</v>
      </c>
      <c r="H25" s="9">
        <v>8.0</v>
      </c>
      <c r="I25" s="20">
        <v>405.0</v>
      </c>
      <c r="J25" s="20">
        <v>6.25</v>
      </c>
      <c r="K25" s="16">
        <v>0.5332723999</v>
      </c>
      <c r="L25" s="13">
        <v>4772.0</v>
      </c>
      <c r="M25" s="13">
        <v>239.18</v>
      </c>
      <c r="N25" s="9">
        <f t="shared" si="1"/>
        <v>1</v>
      </c>
      <c r="O25" s="9">
        <f t="shared" si="2"/>
        <v>3</v>
      </c>
      <c r="P25" s="9">
        <f t="shared" si="3"/>
        <v>11</v>
      </c>
      <c r="Q25" s="9">
        <f t="shared" si="4"/>
        <v>1</v>
      </c>
      <c r="R25" s="9">
        <f t="shared" si="5"/>
        <v>5</v>
      </c>
      <c r="S25" s="9">
        <f t="shared" si="6"/>
        <v>2</v>
      </c>
      <c r="T25" s="9">
        <f t="shared" si="7"/>
        <v>9.762764815</v>
      </c>
      <c r="U25" s="9">
        <f t="shared" si="8"/>
        <v>29.28829444</v>
      </c>
      <c r="V25" s="9"/>
      <c r="W25" s="9"/>
      <c r="X25" s="9"/>
      <c r="Y25" s="9"/>
      <c r="Z25" s="9">
        <v>58.070794032834414</v>
      </c>
      <c r="AA25" s="9">
        <v>11.4755703115</v>
      </c>
      <c r="AB25" s="9">
        <v>5.372934E-8</v>
      </c>
      <c r="AC25" s="9">
        <v>0.0</v>
      </c>
      <c r="AD25" s="9">
        <v>0.0</v>
      </c>
      <c r="AE25" s="15">
        <v>1.0</v>
      </c>
      <c r="AF25" s="9">
        <v>0.0</v>
      </c>
      <c r="AG25" s="9">
        <v>0.0</v>
      </c>
      <c r="AH25" s="9">
        <v>0.0</v>
      </c>
      <c r="AI25" s="15">
        <v>4.0</v>
      </c>
      <c r="AJ25" s="15">
        <v>1.0</v>
      </c>
      <c r="AK25" s="15">
        <v>3.0</v>
      </c>
      <c r="AL25" s="15">
        <v>3.0</v>
      </c>
      <c r="AM25" s="9">
        <v>0.0</v>
      </c>
      <c r="AN25" s="15">
        <v>0.0</v>
      </c>
      <c r="AO25" s="15">
        <v>2.0</v>
      </c>
      <c r="AP25" s="15">
        <v>0.0</v>
      </c>
      <c r="AQ25" s="15">
        <v>0.0</v>
      </c>
      <c r="AR25" s="15">
        <v>1.0</v>
      </c>
      <c r="AS25" s="9">
        <v>2.0</v>
      </c>
      <c r="AT25" s="15">
        <v>0.0</v>
      </c>
      <c r="AU25" s="9">
        <v>0.0</v>
      </c>
      <c r="AV25" s="9">
        <v>0.0</v>
      </c>
      <c r="AW25" s="9">
        <v>0.0</v>
      </c>
      <c r="AX25" s="15">
        <v>3.0</v>
      </c>
      <c r="AY25" s="9">
        <v>0.0</v>
      </c>
      <c r="AZ25" s="9">
        <v>0.0</v>
      </c>
      <c r="BA25" s="9">
        <v>0.0</v>
      </c>
      <c r="BB25" s="9">
        <v>0.0</v>
      </c>
      <c r="BC25" s="9">
        <v>0.0</v>
      </c>
      <c r="BD25" s="15">
        <v>1.0</v>
      </c>
      <c r="BE25" s="9">
        <v>0.0</v>
      </c>
      <c r="BF25" s="15">
        <v>0.0</v>
      </c>
      <c r="BG25" s="9">
        <v>1.0</v>
      </c>
      <c r="BH25" s="9">
        <v>0.0</v>
      </c>
      <c r="BI25" s="9">
        <v>0.0</v>
      </c>
      <c r="BJ25" s="15">
        <v>1.0</v>
      </c>
      <c r="BK25" s="9">
        <v>0.0</v>
      </c>
      <c r="BL25" s="9">
        <v>0.0</v>
      </c>
    </row>
    <row r="26" ht="15.75" customHeight="1">
      <c r="A26" s="8" t="s">
        <v>75</v>
      </c>
      <c r="B26" s="8" t="s">
        <v>82</v>
      </c>
      <c r="C26" s="8" t="s">
        <v>129</v>
      </c>
      <c r="D26" s="9" t="s">
        <v>84</v>
      </c>
      <c r="E26" s="8" t="s">
        <v>124</v>
      </c>
      <c r="F26" s="10">
        <v>36093.0</v>
      </c>
      <c r="G26" s="18">
        <v>15458.0</v>
      </c>
      <c r="H26" s="9">
        <v>6.0</v>
      </c>
      <c r="I26" s="20">
        <v>363.0</v>
      </c>
      <c r="J26" s="20">
        <v>5.2</v>
      </c>
      <c r="K26" s="16">
        <v>35463.6119</v>
      </c>
      <c r="L26" s="13">
        <v>19048.0</v>
      </c>
      <c r="M26" s="14">
        <v>147.08249999999998</v>
      </c>
      <c r="N26" s="9">
        <f t="shared" si="1"/>
        <v>4</v>
      </c>
      <c r="O26" s="9">
        <f t="shared" si="2"/>
        <v>0</v>
      </c>
      <c r="P26" s="9">
        <f t="shared" si="3"/>
        <v>30</v>
      </c>
      <c r="Q26" s="9">
        <f t="shared" si="4"/>
        <v>10</v>
      </c>
      <c r="R26" s="9">
        <f t="shared" si="5"/>
        <v>11</v>
      </c>
      <c r="S26" s="9">
        <f t="shared" si="6"/>
        <v>8</v>
      </c>
      <c r="T26" s="9">
        <f t="shared" si="7"/>
        <v>11.08248137</v>
      </c>
      <c r="U26" s="9">
        <f t="shared" si="8"/>
        <v>0</v>
      </c>
      <c r="V26" s="9"/>
      <c r="W26" s="9"/>
      <c r="X26" s="9"/>
      <c r="Y26" s="9"/>
      <c r="Z26" s="9">
        <v>51.942106677392474</v>
      </c>
      <c r="AA26" s="9">
        <v>14.305939865833333</v>
      </c>
      <c r="AB26" s="9">
        <v>1.136157E-7</v>
      </c>
      <c r="AC26" s="15">
        <v>1.0</v>
      </c>
      <c r="AD26" s="9">
        <v>0.0</v>
      </c>
      <c r="AE26" s="9">
        <v>0.0</v>
      </c>
      <c r="AF26" s="15">
        <v>1.0</v>
      </c>
      <c r="AG26" s="9">
        <v>0.0</v>
      </c>
      <c r="AH26" s="15">
        <v>2.0</v>
      </c>
      <c r="AI26" s="15">
        <v>11.0</v>
      </c>
      <c r="AJ26" s="15">
        <v>7.0</v>
      </c>
      <c r="AK26" s="15">
        <v>11.0</v>
      </c>
      <c r="AL26" s="15">
        <v>1.0</v>
      </c>
      <c r="AM26" s="9">
        <v>0.0</v>
      </c>
      <c r="AN26" s="15">
        <v>0.0</v>
      </c>
      <c r="AO26" s="15">
        <v>1.0</v>
      </c>
      <c r="AP26" s="15">
        <v>1.0</v>
      </c>
      <c r="AQ26" s="15">
        <v>3.0</v>
      </c>
      <c r="AR26" s="15">
        <v>4.0</v>
      </c>
      <c r="AS26" s="9">
        <v>2.0</v>
      </c>
      <c r="AT26" s="15">
        <v>0.0</v>
      </c>
      <c r="AU26" s="9">
        <v>0.0</v>
      </c>
      <c r="AV26" s="9">
        <v>0.0</v>
      </c>
      <c r="AW26" s="9">
        <v>0.0</v>
      </c>
      <c r="AX26" s="9">
        <v>0.0</v>
      </c>
      <c r="AY26" s="9">
        <v>0.0</v>
      </c>
      <c r="AZ26" s="9">
        <v>0.0</v>
      </c>
      <c r="BA26" s="15">
        <v>3.0</v>
      </c>
      <c r="BB26" s="15">
        <v>1.0</v>
      </c>
      <c r="BC26" s="15">
        <v>6.0</v>
      </c>
      <c r="BD26" s="9">
        <v>0.0</v>
      </c>
      <c r="BE26" s="9">
        <v>0.0</v>
      </c>
      <c r="BF26" s="15">
        <v>0.0</v>
      </c>
      <c r="BG26" s="15">
        <v>2.0</v>
      </c>
      <c r="BH26" s="15">
        <v>3.0</v>
      </c>
      <c r="BI26" s="15">
        <v>1.0</v>
      </c>
      <c r="BJ26" s="9">
        <v>1.0</v>
      </c>
      <c r="BK26" s="9">
        <v>1.0</v>
      </c>
      <c r="BL26" s="9">
        <v>0.0</v>
      </c>
    </row>
    <row r="27" ht="15.75" customHeight="1">
      <c r="A27" s="8" t="s">
        <v>75</v>
      </c>
      <c r="B27" s="8" t="s">
        <v>85</v>
      </c>
      <c r="C27" s="8" t="s">
        <v>130</v>
      </c>
      <c r="D27" s="9" t="s">
        <v>87</v>
      </c>
      <c r="E27" s="8" t="s">
        <v>124</v>
      </c>
      <c r="F27" s="10">
        <v>14166.0</v>
      </c>
      <c r="G27" s="18">
        <v>26581.0</v>
      </c>
      <c r="H27" s="9">
        <v>12.0</v>
      </c>
      <c r="I27" s="20">
        <v>483.0</v>
      </c>
      <c r="J27" s="20">
        <v>7.5</v>
      </c>
      <c r="K27" s="16">
        <v>39.30826815</v>
      </c>
      <c r="L27" s="13">
        <v>1953.0</v>
      </c>
      <c r="M27" s="13">
        <v>148.24</v>
      </c>
      <c r="N27" s="9">
        <f t="shared" si="1"/>
        <v>5</v>
      </c>
      <c r="O27" s="9">
        <f t="shared" si="2"/>
        <v>3</v>
      </c>
      <c r="P27" s="9">
        <f t="shared" si="3"/>
        <v>8</v>
      </c>
      <c r="Q27" s="9">
        <f t="shared" si="4"/>
        <v>7</v>
      </c>
      <c r="R27" s="9">
        <f t="shared" si="5"/>
        <v>1</v>
      </c>
      <c r="S27" s="9">
        <f t="shared" si="6"/>
        <v>3</v>
      </c>
      <c r="T27" s="9">
        <f t="shared" si="7"/>
        <v>35.29577862</v>
      </c>
      <c r="U27" s="9">
        <f t="shared" si="8"/>
        <v>21.17746717</v>
      </c>
      <c r="V27" s="9"/>
      <c r="W27" s="9"/>
      <c r="X27" s="9"/>
      <c r="Y27" s="9"/>
      <c r="Z27" s="9">
        <v>37.91281885757373</v>
      </c>
      <c r="AA27" s="9">
        <v>283.7078742416666</v>
      </c>
      <c r="AB27" s="9">
        <v>1.223642E-7</v>
      </c>
      <c r="AC27" s="15">
        <v>1.0</v>
      </c>
      <c r="AD27" s="15">
        <v>2.0</v>
      </c>
      <c r="AE27" s="9">
        <v>0.0</v>
      </c>
      <c r="AF27" s="9">
        <v>0.0</v>
      </c>
      <c r="AG27" s="15">
        <v>2.0</v>
      </c>
      <c r="AH27" s="9">
        <v>0.0</v>
      </c>
      <c r="AI27" s="9">
        <v>0.0</v>
      </c>
      <c r="AJ27" s="15">
        <v>1.0</v>
      </c>
      <c r="AK27" s="15">
        <v>1.0</v>
      </c>
      <c r="AL27" s="15">
        <v>2.0</v>
      </c>
      <c r="AM27" s="15">
        <v>4.0</v>
      </c>
      <c r="AN27" s="15">
        <v>0.0</v>
      </c>
      <c r="AO27" s="9">
        <v>1.0</v>
      </c>
      <c r="AP27" s="15">
        <v>0.0</v>
      </c>
      <c r="AQ27" s="15">
        <v>0.0</v>
      </c>
      <c r="AR27" s="15">
        <v>0.0</v>
      </c>
      <c r="AS27" s="15">
        <v>0.0</v>
      </c>
      <c r="AT27" s="15">
        <v>0.0</v>
      </c>
      <c r="AU27" s="15">
        <v>1.0</v>
      </c>
      <c r="AV27" s="9">
        <v>0.0</v>
      </c>
      <c r="AW27" s="9">
        <v>0.0</v>
      </c>
      <c r="AX27" s="9">
        <v>0.0</v>
      </c>
      <c r="AY27" s="9">
        <v>0.0</v>
      </c>
      <c r="AZ27" s="15">
        <v>2.0</v>
      </c>
      <c r="BA27" s="15">
        <v>2.0</v>
      </c>
      <c r="BB27" s="9">
        <v>0.0</v>
      </c>
      <c r="BC27" s="15">
        <v>1.0</v>
      </c>
      <c r="BD27" s="15">
        <v>3.0</v>
      </c>
      <c r="BE27" s="15">
        <v>1.0</v>
      </c>
      <c r="BF27" s="15">
        <v>0.0</v>
      </c>
      <c r="BG27" s="15">
        <v>0.0</v>
      </c>
      <c r="BH27" s="9">
        <v>2.0</v>
      </c>
      <c r="BI27" s="15">
        <v>0.0</v>
      </c>
      <c r="BJ27" s="15">
        <v>1.0</v>
      </c>
      <c r="BK27" s="15">
        <v>0.0</v>
      </c>
      <c r="BL27" s="9">
        <v>0.0</v>
      </c>
    </row>
    <row r="28" ht="15.75" customHeight="1">
      <c r="A28" s="8" t="s">
        <v>75</v>
      </c>
      <c r="B28" s="8" t="s">
        <v>85</v>
      </c>
      <c r="C28" s="8" t="s">
        <v>131</v>
      </c>
      <c r="D28" s="9" t="s">
        <v>87</v>
      </c>
      <c r="E28" s="8" t="s">
        <v>124</v>
      </c>
      <c r="F28" s="10">
        <v>40578.0</v>
      </c>
      <c r="G28" s="18">
        <v>7313.0</v>
      </c>
      <c r="H28" s="9">
        <v>12.0</v>
      </c>
      <c r="I28" s="20">
        <v>606.0</v>
      </c>
      <c r="J28" s="20">
        <v>9.5</v>
      </c>
      <c r="K28" s="16">
        <v>17778.86851</v>
      </c>
      <c r="L28" s="13">
        <v>17960.0</v>
      </c>
      <c r="M28" s="14">
        <v>120.75</v>
      </c>
      <c r="N28" s="9">
        <f t="shared" si="1"/>
        <v>4</v>
      </c>
      <c r="O28" s="9">
        <f t="shared" si="2"/>
        <v>1</v>
      </c>
      <c r="P28" s="9">
        <f t="shared" si="3"/>
        <v>31</v>
      </c>
      <c r="Q28" s="9">
        <f t="shared" si="4"/>
        <v>14</v>
      </c>
      <c r="R28" s="9">
        <f t="shared" si="5"/>
        <v>10</v>
      </c>
      <c r="S28" s="9">
        <f t="shared" si="6"/>
        <v>4</v>
      </c>
      <c r="T28" s="9">
        <f t="shared" si="7"/>
        <v>9.857558283</v>
      </c>
      <c r="U28" s="9">
        <f t="shared" si="8"/>
        <v>2.464389571</v>
      </c>
      <c r="V28" s="9"/>
      <c r="W28" s="9"/>
      <c r="X28" s="9"/>
      <c r="Y28" s="9"/>
      <c r="Z28" s="9">
        <v>7.9690245177114285</v>
      </c>
      <c r="AA28" s="9">
        <v>17.045739883166668</v>
      </c>
      <c r="AB28" s="9">
        <v>1.223642E-7</v>
      </c>
      <c r="AC28" s="15">
        <v>2.0</v>
      </c>
      <c r="AD28" s="15">
        <v>1.0</v>
      </c>
      <c r="AE28" s="15">
        <v>1.0</v>
      </c>
      <c r="AF28" s="9">
        <v>0.0</v>
      </c>
      <c r="AG28" s="9">
        <v>0.0</v>
      </c>
      <c r="AH28" s="9">
        <v>0.0</v>
      </c>
      <c r="AI28" s="15">
        <v>8.0</v>
      </c>
      <c r="AJ28" s="15">
        <v>6.0</v>
      </c>
      <c r="AK28" s="15">
        <v>4.0</v>
      </c>
      <c r="AL28" s="15">
        <v>7.0</v>
      </c>
      <c r="AM28" s="15">
        <v>6.0</v>
      </c>
      <c r="AN28" s="15">
        <v>0.0</v>
      </c>
      <c r="AO28" s="15">
        <v>2.0</v>
      </c>
      <c r="AP28" s="15">
        <v>0.0</v>
      </c>
      <c r="AQ28" s="15">
        <v>5.0</v>
      </c>
      <c r="AR28" s="15">
        <v>2.0</v>
      </c>
      <c r="AS28" s="15">
        <v>1.0</v>
      </c>
      <c r="AT28" s="15">
        <v>0.0</v>
      </c>
      <c r="AU28" s="15">
        <v>1.0</v>
      </c>
      <c r="AV28" s="9">
        <v>0.0</v>
      </c>
      <c r="AW28" s="9">
        <v>0.0</v>
      </c>
      <c r="AX28" s="9">
        <v>0.0</v>
      </c>
      <c r="AY28" s="9">
        <v>0.0</v>
      </c>
      <c r="AZ28" s="9">
        <v>0.0</v>
      </c>
      <c r="BA28" s="9">
        <v>0.0</v>
      </c>
      <c r="BB28" s="15">
        <v>2.0</v>
      </c>
      <c r="BC28" s="15">
        <v>4.0</v>
      </c>
      <c r="BD28" s="15">
        <v>5.0</v>
      </c>
      <c r="BE28" s="15">
        <v>3.0</v>
      </c>
      <c r="BF28" s="15">
        <v>0.0</v>
      </c>
      <c r="BG28" s="9">
        <v>0.0</v>
      </c>
      <c r="BH28" s="15">
        <v>0.0</v>
      </c>
      <c r="BI28" s="15">
        <v>1.0</v>
      </c>
      <c r="BJ28" s="15">
        <v>1.0</v>
      </c>
      <c r="BK28" s="15">
        <v>2.0</v>
      </c>
      <c r="BL28" s="9">
        <v>0.0</v>
      </c>
    </row>
    <row r="29" ht="15.75" customHeight="1">
      <c r="A29" s="8" t="s">
        <v>75</v>
      </c>
      <c r="B29" s="8" t="s">
        <v>89</v>
      </c>
      <c r="C29" s="8" t="s">
        <v>132</v>
      </c>
      <c r="D29" s="9" t="s">
        <v>91</v>
      </c>
      <c r="E29" s="8" t="s">
        <v>124</v>
      </c>
      <c r="F29" s="9">
        <v>72086.0</v>
      </c>
      <c r="G29" s="18">
        <v>26183.0</v>
      </c>
      <c r="H29" s="9">
        <v>17.0</v>
      </c>
      <c r="I29" s="20">
        <v>573.0</v>
      </c>
      <c r="J29" s="20">
        <v>10.4</v>
      </c>
      <c r="K29" s="16">
        <v>17098.86847</v>
      </c>
      <c r="L29" s="13">
        <v>14091.0</v>
      </c>
      <c r="M29" s="14">
        <v>94.27166666666666</v>
      </c>
      <c r="N29" s="9">
        <f t="shared" si="1"/>
        <v>4</v>
      </c>
      <c r="O29" s="9">
        <f t="shared" si="2"/>
        <v>4</v>
      </c>
      <c r="P29" s="9">
        <f t="shared" si="3"/>
        <v>46</v>
      </c>
      <c r="Q29" s="9">
        <f t="shared" si="4"/>
        <v>24</v>
      </c>
      <c r="R29" s="9">
        <f t="shared" si="5"/>
        <v>17</v>
      </c>
      <c r="S29" s="9">
        <f t="shared" si="6"/>
        <v>10</v>
      </c>
      <c r="T29" s="9">
        <f t="shared" si="7"/>
        <v>5.54892767</v>
      </c>
      <c r="U29" s="9">
        <f t="shared" si="8"/>
        <v>5.54892767</v>
      </c>
      <c r="V29" s="9"/>
      <c r="W29" s="9"/>
      <c r="X29" s="9"/>
      <c r="Y29" s="9"/>
      <c r="Z29" s="9">
        <v>29.777044798187486</v>
      </c>
      <c r="AA29" s="9">
        <v>28.22762172333333</v>
      </c>
      <c r="AB29" s="9">
        <v>3.010126E-8</v>
      </c>
      <c r="AC29" s="15">
        <v>2.0</v>
      </c>
      <c r="AD29" s="9">
        <v>0.0</v>
      </c>
      <c r="AE29" s="9">
        <v>0.0</v>
      </c>
      <c r="AF29" s="15">
        <v>1.0</v>
      </c>
      <c r="AG29" s="15">
        <v>1.0</v>
      </c>
      <c r="AH29" s="9">
        <v>0.0</v>
      </c>
      <c r="AI29" s="15">
        <v>15.0</v>
      </c>
      <c r="AJ29" s="15">
        <v>11.0</v>
      </c>
      <c r="AK29" s="15">
        <v>9.0</v>
      </c>
      <c r="AL29" s="15">
        <v>10.0</v>
      </c>
      <c r="AM29" s="15">
        <v>1.0</v>
      </c>
      <c r="AN29" s="15">
        <v>0.0</v>
      </c>
      <c r="AO29" s="15">
        <v>3.0</v>
      </c>
      <c r="AP29" s="15">
        <v>3.0</v>
      </c>
      <c r="AQ29" s="15">
        <v>3.0</v>
      </c>
      <c r="AR29" s="15">
        <v>3.0</v>
      </c>
      <c r="AS29" s="15">
        <v>5.0</v>
      </c>
      <c r="AT29" s="15">
        <v>0.0</v>
      </c>
      <c r="AU29" s="9">
        <v>0.0</v>
      </c>
      <c r="AV29" s="9">
        <v>0.0</v>
      </c>
      <c r="AW29" s="9">
        <v>0.0</v>
      </c>
      <c r="AX29" s="15">
        <v>1.0</v>
      </c>
      <c r="AY29" s="15">
        <v>1.0</v>
      </c>
      <c r="AZ29" s="15">
        <v>2.0</v>
      </c>
      <c r="BA29" s="15">
        <v>10.0</v>
      </c>
      <c r="BB29" s="15">
        <v>3.0</v>
      </c>
      <c r="BC29" s="15">
        <v>4.0</v>
      </c>
      <c r="BD29" s="15">
        <v>7.0</v>
      </c>
      <c r="BE29" s="9">
        <v>0.0</v>
      </c>
      <c r="BF29" s="15">
        <v>0.0</v>
      </c>
      <c r="BG29" s="15">
        <v>1.0</v>
      </c>
      <c r="BH29" s="15">
        <v>1.0</v>
      </c>
      <c r="BI29" s="15">
        <v>2.0</v>
      </c>
      <c r="BJ29" s="15">
        <v>3.0</v>
      </c>
      <c r="BK29" s="9">
        <v>3.0</v>
      </c>
      <c r="BL29" s="9">
        <v>0.0</v>
      </c>
    </row>
    <row r="30" ht="15.75" customHeight="1">
      <c r="A30" s="8" t="s">
        <v>75</v>
      </c>
      <c r="B30" s="8" t="s">
        <v>89</v>
      </c>
      <c r="C30" s="8" t="s">
        <v>133</v>
      </c>
      <c r="D30" s="9" t="s">
        <v>91</v>
      </c>
      <c r="E30" s="8" t="s">
        <v>124</v>
      </c>
      <c r="F30" s="9">
        <v>20570.0</v>
      </c>
      <c r="G30" s="18">
        <v>7959.0</v>
      </c>
      <c r="H30" s="9">
        <v>17.0</v>
      </c>
      <c r="I30" s="20">
        <v>859.0</v>
      </c>
      <c r="J30" s="20">
        <v>14.49</v>
      </c>
      <c r="K30" s="16">
        <v>6798.943222</v>
      </c>
      <c r="L30" s="13">
        <v>18498.0</v>
      </c>
      <c r="M30" s="14">
        <v>170.06</v>
      </c>
      <c r="N30" s="9">
        <f t="shared" si="1"/>
        <v>1</v>
      </c>
      <c r="O30" s="9">
        <f t="shared" si="2"/>
        <v>1</v>
      </c>
      <c r="P30" s="9">
        <f t="shared" si="3"/>
        <v>7</v>
      </c>
      <c r="Q30" s="9">
        <f t="shared" si="4"/>
        <v>12</v>
      </c>
      <c r="R30" s="9">
        <f t="shared" si="5"/>
        <v>8</v>
      </c>
      <c r="S30" s="9">
        <f t="shared" si="6"/>
        <v>3</v>
      </c>
      <c r="T30" s="9">
        <f t="shared" si="7"/>
        <v>4.861448712</v>
      </c>
      <c r="U30" s="9">
        <f t="shared" si="8"/>
        <v>4.861448712</v>
      </c>
      <c r="V30" s="9"/>
      <c r="W30" s="9"/>
      <c r="X30" s="9"/>
      <c r="Y30" s="9"/>
      <c r="Z30" s="9">
        <v>32.26643236932463</v>
      </c>
      <c r="AA30" s="9">
        <v>160.854213516</v>
      </c>
      <c r="AB30" s="9">
        <v>3.010126E-8</v>
      </c>
      <c r="AC30" s="15">
        <v>1.0</v>
      </c>
      <c r="AD30" s="9">
        <v>0.0</v>
      </c>
      <c r="AE30" s="9">
        <v>0.0</v>
      </c>
      <c r="AF30" s="9">
        <v>0.0</v>
      </c>
      <c r="AG30" s="9">
        <v>0.0</v>
      </c>
      <c r="AH30" s="9">
        <v>0.0</v>
      </c>
      <c r="AI30" s="15">
        <v>1.0</v>
      </c>
      <c r="AJ30" s="15">
        <v>1.0</v>
      </c>
      <c r="AK30" s="15">
        <v>2.0</v>
      </c>
      <c r="AL30" s="15">
        <v>3.0</v>
      </c>
      <c r="AM30" s="9">
        <v>0.0</v>
      </c>
      <c r="AN30" s="15">
        <v>0.0</v>
      </c>
      <c r="AO30" s="15">
        <v>1.0</v>
      </c>
      <c r="AP30" s="15">
        <v>1.0</v>
      </c>
      <c r="AQ30" s="15">
        <v>2.0</v>
      </c>
      <c r="AR30" s="15">
        <v>3.0</v>
      </c>
      <c r="AS30" s="9">
        <v>1.0</v>
      </c>
      <c r="AT30" s="15">
        <v>0.0</v>
      </c>
      <c r="AU30" s="9">
        <v>0.0</v>
      </c>
      <c r="AV30" s="9">
        <v>0.0</v>
      </c>
      <c r="AW30" s="9">
        <v>0.0</v>
      </c>
      <c r="AX30" s="9">
        <v>0.0</v>
      </c>
      <c r="AY30" s="9">
        <v>0.0</v>
      </c>
      <c r="AZ30" s="15">
        <v>1.0</v>
      </c>
      <c r="BA30" s="9">
        <v>0.0</v>
      </c>
      <c r="BB30" s="15">
        <v>3.0</v>
      </c>
      <c r="BC30" s="15">
        <v>1.0</v>
      </c>
      <c r="BD30" s="15">
        <v>3.0</v>
      </c>
      <c r="BE30" s="15">
        <v>5.0</v>
      </c>
      <c r="BF30" s="15">
        <v>0.0</v>
      </c>
      <c r="BG30" s="9">
        <v>0.0</v>
      </c>
      <c r="BH30" s="15">
        <v>1.0</v>
      </c>
      <c r="BI30" s="15">
        <v>1.0</v>
      </c>
      <c r="BJ30" s="15">
        <v>0.0</v>
      </c>
      <c r="BK30" s="15">
        <v>1.0</v>
      </c>
      <c r="BL30" s="9">
        <v>0.0</v>
      </c>
    </row>
    <row r="31" ht="15.75" customHeight="1">
      <c r="A31" s="8" t="s">
        <v>93</v>
      </c>
      <c r="B31" s="8" t="s">
        <v>94</v>
      </c>
      <c r="C31" s="8" t="s">
        <v>134</v>
      </c>
      <c r="D31" s="9" t="s">
        <v>96</v>
      </c>
      <c r="E31" s="8" t="s">
        <v>124</v>
      </c>
      <c r="F31" s="19">
        <v>37601.0</v>
      </c>
      <c r="G31" s="18">
        <v>1090.0</v>
      </c>
      <c r="H31" s="9">
        <v>8.0</v>
      </c>
      <c r="I31" s="20">
        <v>166.0</v>
      </c>
      <c r="J31" s="20">
        <v>3.15</v>
      </c>
      <c r="K31" s="16">
        <v>237114.7099</v>
      </c>
      <c r="L31" s="13">
        <v>336799.0</v>
      </c>
      <c r="M31" s="14">
        <v>107.8291666666667</v>
      </c>
      <c r="N31" s="9">
        <f t="shared" si="1"/>
        <v>6</v>
      </c>
      <c r="O31" s="9">
        <f t="shared" si="2"/>
        <v>47</v>
      </c>
      <c r="P31" s="9">
        <f t="shared" si="3"/>
        <v>45</v>
      </c>
      <c r="Q31" s="9">
        <f t="shared" si="4"/>
        <v>8</v>
      </c>
      <c r="R31" s="9">
        <f t="shared" si="5"/>
        <v>8</v>
      </c>
      <c r="S31" s="9">
        <f t="shared" si="6"/>
        <v>6</v>
      </c>
      <c r="T31" s="9">
        <f t="shared" si="7"/>
        <v>15.95702242</v>
      </c>
      <c r="U31" s="9">
        <f t="shared" si="8"/>
        <v>124.9966756</v>
      </c>
      <c r="V31" s="9"/>
      <c r="W31" s="9"/>
      <c r="X31" s="9"/>
      <c r="Y31" s="9"/>
      <c r="Z31" s="9">
        <v>40.60392178315923</v>
      </c>
      <c r="AA31" s="9">
        <v>51.86045533</v>
      </c>
      <c r="AB31" s="9">
        <v>2.240005E-7</v>
      </c>
      <c r="AC31" s="15">
        <v>2.0</v>
      </c>
      <c r="AD31" s="15">
        <v>1.0</v>
      </c>
      <c r="AE31" s="15">
        <v>1.0</v>
      </c>
      <c r="AF31" s="15">
        <v>1.0</v>
      </c>
      <c r="AG31" s="15">
        <v>1.0</v>
      </c>
      <c r="AH31" s="9">
        <v>0.0</v>
      </c>
      <c r="AI31" s="15">
        <v>18.0</v>
      </c>
      <c r="AJ31" s="15">
        <v>12.0</v>
      </c>
      <c r="AK31" s="15">
        <v>6.0</v>
      </c>
      <c r="AL31" s="15">
        <v>9.0</v>
      </c>
      <c r="AM31" s="9">
        <v>0.0</v>
      </c>
      <c r="AN31" s="15">
        <v>0.0</v>
      </c>
      <c r="AO31" s="15">
        <v>1.0</v>
      </c>
      <c r="AP31" s="15">
        <v>1.0</v>
      </c>
      <c r="AQ31" s="15">
        <v>0.0</v>
      </c>
      <c r="AR31" s="15">
        <v>2.0</v>
      </c>
      <c r="AS31" s="9">
        <v>4.0</v>
      </c>
      <c r="AT31" s="15">
        <v>0.0</v>
      </c>
      <c r="AU31" s="15">
        <v>8.0</v>
      </c>
      <c r="AV31" s="15">
        <v>2.0</v>
      </c>
      <c r="AW31" s="15">
        <v>1.0</v>
      </c>
      <c r="AX31" s="15">
        <v>5.0</v>
      </c>
      <c r="AY31" s="15">
        <v>17.0</v>
      </c>
      <c r="AZ31" s="15">
        <v>14.0</v>
      </c>
      <c r="BA31" s="15">
        <v>5.0</v>
      </c>
      <c r="BB31" s="9">
        <v>0.0</v>
      </c>
      <c r="BC31" s="9">
        <v>0.0</v>
      </c>
      <c r="BD31" s="15">
        <v>3.0</v>
      </c>
      <c r="BE31" s="9">
        <v>0.0</v>
      </c>
      <c r="BF31" s="15">
        <v>0.0</v>
      </c>
      <c r="BG31" s="15">
        <v>1.0</v>
      </c>
      <c r="BH31" s="9">
        <v>1.0</v>
      </c>
      <c r="BI31" s="9">
        <v>0.0</v>
      </c>
      <c r="BJ31" s="15">
        <v>1.0</v>
      </c>
      <c r="BK31" s="9">
        <v>3.0</v>
      </c>
      <c r="BL31" s="9">
        <v>0.0</v>
      </c>
    </row>
    <row r="32" ht="15.75" customHeight="1">
      <c r="A32" s="8" t="s">
        <v>93</v>
      </c>
      <c r="B32" s="8" t="s">
        <v>97</v>
      </c>
      <c r="C32" s="8" t="s">
        <v>135</v>
      </c>
      <c r="D32" s="9" t="s">
        <v>99</v>
      </c>
      <c r="E32" s="8" t="s">
        <v>124</v>
      </c>
      <c r="F32" s="19">
        <v>11480.0</v>
      </c>
      <c r="G32" s="18">
        <v>3626.0</v>
      </c>
      <c r="H32" s="9">
        <v>5.0</v>
      </c>
      <c r="I32" s="20">
        <v>159.0</v>
      </c>
      <c r="J32" s="20">
        <v>3.33</v>
      </c>
      <c r="K32" s="16">
        <v>37883.28332</v>
      </c>
      <c r="L32" s="13">
        <v>62235.0</v>
      </c>
      <c r="M32" s="13">
        <v>149.89000000000004</v>
      </c>
      <c r="N32" s="9">
        <f t="shared" si="1"/>
        <v>0</v>
      </c>
      <c r="O32" s="9">
        <f t="shared" si="2"/>
        <v>3</v>
      </c>
      <c r="P32" s="9">
        <f t="shared" si="3"/>
        <v>4</v>
      </c>
      <c r="Q32" s="9">
        <f t="shared" si="4"/>
        <v>3</v>
      </c>
      <c r="R32" s="9">
        <f t="shared" si="5"/>
        <v>1</v>
      </c>
      <c r="S32" s="9">
        <f t="shared" si="6"/>
        <v>3</v>
      </c>
      <c r="T32" s="9">
        <f t="shared" si="7"/>
        <v>0</v>
      </c>
      <c r="U32" s="9">
        <f t="shared" si="8"/>
        <v>26.13240418</v>
      </c>
      <c r="V32" s="9"/>
      <c r="W32" s="9"/>
      <c r="X32" s="9"/>
      <c r="Y32" s="9"/>
      <c r="Z32" s="9">
        <v>49.13479986850445</v>
      </c>
      <c r="AA32" s="9">
        <v>26.094997851666665</v>
      </c>
      <c r="AB32" s="9">
        <v>5.535821E-9</v>
      </c>
      <c r="AC32" s="9">
        <v>0.0</v>
      </c>
      <c r="AD32" s="9">
        <v>0.0</v>
      </c>
      <c r="AE32" s="9">
        <v>0.0</v>
      </c>
      <c r="AF32" s="9">
        <v>0.0</v>
      </c>
      <c r="AG32" s="9">
        <v>0.0</v>
      </c>
      <c r="AH32" s="9">
        <v>0.0</v>
      </c>
      <c r="AI32" s="15">
        <v>2.0</v>
      </c>
      <c r="AJ32" s="15">
        <v>2.0</v>
      </c>
      <c r="AK32" s="9">
        <v>0.0</v>
      </c>
      <c r="AL32" s="9">
        <v>0.0</v>
      </c>
      <c r="AM32" s="9">
        <v>0.0</v>
      </c>
      <c r="AN32" s="15">
        <v>0.0</v>
      </c>
      <c r="AO32" s="15">
        <v>1.0</v>
      </c>
      <c r="AP32" s="15">
        <v>0.0</v>
      </c>
      <c r="AQ32" s="9">
        <v>0.0</v>
      </c>
      <c r="AR32" s="9">
        <v>0.0</v>
      </c>
      <c r="AS32" s="9">
        <v>0.0</v>
      </c>
      <c r="AT32" s="15">
        <v>0.0</v>
      </c>
      <c r="AU32" s="9">
        <v>0.0</v>
      </c>
      <c r="AV32" s="9">
        <v>0.0</v>
      </c>
      <c r="AW32" s="9">
        <v>0.0</v>
      </c>
      <c r="AX32" s="9">
        <v>0.0</v>
      </c>
      <c r="AY32" s="15">
        <v>1.0</v>
      </c>
      <c r="AZ32" s="15">
        <v>2.0</v>
      </c>
      <c r="BA32" s="15">
        <v>2.0</v>
      </c>
      <c r="BB32" s="15">
        <v>1.0</v>
      </c>
      <c r="BC32" s="9">
        <v>0.0</v>
      </c>
      <c r="BD32" s="9">
        <v>0.0</v>
      </c>
      <c r="BE32" s="9">
        <v>0.0</v>
      </c>
      <c r="BF32" s="15">
        <v>0.0</v>
      </c>
      <c r="BG32" s="15">
        <v>0.0</v>
      </c>
      <c r="BH32" s="15">
        <v>1.0</v>
      </c>
      <c r="BI32" s="9">
        <v>0.0</v>
      </c>
      <c r="BJ32" s="9">
        <v>1.0</v>
      </c>
      <c r="BK32" s="9">
        <v>1.0</v>
      </c>
      <c r="BL32" s="9">
        <v>0.0</v>
      </c>
    </row>
    <row r="33" ht="15.75" customHeight="1">
      <c r="A33" s="8" t="s">
        <v>93</v>
      </c>
      <c r="B33" s="8" t="s">
        <v>100</v>
      </c>
      <c r="C33" s="8" t="s">
        <v>136</v>
      </c>
      <c r="D33" s="9" t="s">
        <v>102</v>
      </c>
      <c r="E33" s="8" t="s">
        <v>124</v>
      </c>
      <c r="F33" s="19">
        <v>4215.0</v>
      </c>
      <c r="G33" s="18">
        <v>7953.0</v>
      </c>
      <c r="H33" s="9">
        <v>5.0</v>
      </c>
      <c r="I33" s="20">
        <v>363.0</v>
      </c>
      <c r="J33" s="20">
        <v>5.55</v>
      </c>
      <c r="K33" s="16">
        <v>3090.549262</v>
      </c>
      <c r="L33" s="13">
        <v>6913.0</v>
      </c>
      <c r="M33" s="14">
        <v>249.11</v>
      </c>
      <c r="N33" s="9">
        <f t="shared" si="1"/>
        <v>0</v>
      </c>
      <c r="O33" s="9">
        <f t="shared" si="2"/>
        <v>5</v>
      </c>
      <c r="P33" s="9">
        <f t="shared" si="3"/>
        <v>0</v>
      </c>
      <c r="Q33" s="9">
        <f t="shared" si="4"/>
        <v>0</v>
      </c>
      <c r="R33" s="9">
        <f t="shared" si="5"/>
        <v>4</v>
      </c>
      <c r="S33" s="9">
        <f t="shared" si="6"/>
        <v>0</v>
      </c>
      <c r="T33" s="9">
        <f t="shared" si="7"/>
        <v>0</v>
      </c>
      <c r="U33" s="9">
        <f t="shared" si="8"/>
        <v>118.623962</v>
      </c>
      <c r="V33" s="9"/>
      <c r="W33" s="9"/>
      <c r="X33" s="9"/>
      <c r="Y33" s="9"/>
      <c r="Z33" s="9">
        <v>46.73964316657856</v>
      </c>
      <c r="AA33" s="9">
        <v>71.3038245425</v>
      </c>
      <c r="AB33" s="9">
        <v>1.469539E-7</v>
      </c>
      <c r="AC33" s="9">
        <v>0.0</v>
      </c>
      <c r="AD33" s="9">
        <v>0.0</v>
      </c>
      <c r="AE33" s="9">
        <v>0.0</v>
      </c>
      <c r="AF33" s="9">
        <v>0.0</v>
      </c>
      <c r="AG33" s="9">
        <v>0.0</v>
      </c>
      <c r="AH33" s="9">
        <v>0.0</v>
      </c>
      <c r="AI33" s="9">
        <v>0.0</v>
      </c>
      <c r="AJ33" s="9">
        <v>0.0</v>
      </c>
      <c r="AK33" s="9">
        <v>0.0</v>
      </c>
      <c r="AL33" s="9">
        <v>0.0</v>
      </c>
      <c r="AM33" s="9">
        <v>0.0</v>
      </c>
      <c r="AN33" s="15">
        <v>0.0</v>
      </c>
      <c r="AO33" s="9">
        <v>0.0</v>
      </c>
      <c r="AP33" s="9">
        <v>1.0</v>
      </c>
      <c r="AQ33" s="9">
        <v>0.0</v>
      </c>
      <c r="AR33" s="9">
        <v>1.0</v>
      </c>
      <c r="AS33" s="9">
        <v>2.0</v>
      </c>
      <c r="AT33" s="15">
        <v>0.0</v>
      </c>
      <c r="AU33" s="9">
        <v>0.0</v>
      </c>
      <c r="AV33" s="9">
        <v>0.0</v>
      </c>
      <c r="AW33" s="15">
        <v>1.0</v>
      </c>
      <c r="AX33" s="15">
        <v>2.0</v>
      </c>
      <c r="AY33" s="15">
        <v>2.0</v>
      </c>
      <c r="AZ33" s="9">
        <v>0.0</v>
      </c>
      <c r="BA33" s="9">
        <v>0.0</v>
      </c>
      <c r="BB33" s="9">
        <v>0.0</v>
      </c>
      <c r="BC33" s="9">
        <v>0.0</v>
      </c>
      <c r="BD33" s="9">
        <v>0.0</v>
      </c>
      <c r="BE33" s="9">
        <v>0.0</v>
      </c>
      <c r="BF33" s="15">
        <v>0.0</v>
      </c>
      <c r="BG33" s="9">
        <v>0.0</v>
      </c>
      <c r="BH33" s="9">
        <v>0.0</v>
      </c>
      <c r="BI33" s="9">
        <v>0.0</v>
      </c>
      <c r="BJ33" s="9">
        <v>0.0</v>
      </c>
      <c r="BK33" s="9">
        <v>0.0</v>
      </c>
      <c r="BL33" s="9">
        <v>0.0</v>
      </c>
    </row>
    <row r="34" ht="15.75" customHeight="1">
      <c r="A34" s="8" t="s">
        <v>103</v>
      </c>
      <c r="B34" s="8" t="s">
        <v>104</v>
      </c>
      <c r="C34" s="8" t="s">
        <v>137</v>
      </c>
      <c r="D34" s="9" t="s">
        <v>106</v>
      </c>
      <c r="E34" s="8" t="s">
        <v>124</v>
      </c>
      <c r="F34" s="19">
        <v>4800.0</v>
      </c>
      <c r="G34" s="18">
        <v>1923.0</v>
      </c>
      <c r="H34" s="9">
        <v>37.0</v>
      </c>
      <c r="I34" s="9">
        <v>318.0</v>
      </c>
      <c r="J34" s="9">
        <v>5.5</v>
      </c>
      <c r="K34" s="16">
        <v>636.456043</v>
      </c>
      <c r="L34" s="13">
        <v>1550.0</v>
      </c>
      <c r="M34" s="14">
        <v>218.75</v>
      </c>
      <c r="N34" s="9">
        <f t="shared" si="1"/>
        <v>9</v>
      </c>
      <c r="O34" s="9">
        <f t="shared" si="2"/>
        <v>5</v>
      </c>
      <c r="P34" s="9">
        <f t="shared" si="3"/>
        <v>9</v>
      </c>
      <c r="Q34" s="9">
        <f t="shared" si="4"/>
        <v>1</v>
      </c>
      <c r="R34" s="9">
        <f t="shared" si="5"/>
        <v>0</v>
      </c>
      <c r="S34" s="9">
        <f t="shared" si="6"/>
        <v>1</v>
      </c>
      <c r="T34" s="9">
        <f t="shared" si="7"/>
        <v>187.5</v>
      </c>
      <c r="U34" s="9">
        <f t="shared" si="8"/>
        <v>104.1666667</v>
      </c>
      <c r="V34" s="9"/>
      <c r="W34" s="9"/>
      <c r="X34" s="9"/>
      <c r="Y34" s="9"/>
      <c r="Z34" s="9">
        <v>61.93492646528406</v>
      </c>
      <c r="AA34" s="9">
        <v>41.939375125000005</v>
      </c>
      <c r="AB34" s="9">
        <v>6.30846E-8</v>
      </c>
      <c r="AC34" s="9">
        <v>0.0</v>
      </c>
      <c r="AD34" s="9">
        <v>0.0</v>
      </c>
      <c r="AE34" s="15">
        <v>3.0</v>
      </c>
      <c r="AF34" s="15">
        <v>4.0</v>
      </c>
      <c r="AG34" s="15">
        <v>1.0</v>
      </c>
      <c r="AH34" s="15">
        <v>1.0</v>
      </c>
      <c r="AI34" s="15">
        <v>1.0</v>
      </c>
      <c r="AJ34" s="15">
        <v>1.0</v>
      </c>
      <c r="AK34" s="15">
        <v>3.0</v>
      </c>
      <c r="AL34" s="15">
        <v>4.0</v>
      </c>
      <c r="AM34" s="9">
        <v>0.0</v>
      </c>
      <c r="AN34" s="15">
        <v>0.0</v>
      </c>
      <c r="AO34" s="15">
        <v>0.0</v>
      </c>
      <c r="AP34" s="15">
        <v>0.0</v>
      </c>
      <c r="AQ34" s="15">
        <v>0.0</v>
      </c>
      <c r="AR34" s="15">
        <v>0.0</v>
      </c>
      <c r="AS34" s="9">
        <v>0.0</v>
      </c>
      <c r="AT34" s="15">
        <v>0.0</v>
      </c>
      <c r="AU34" s="15">
        <v>1.0</v>
      </c>
      <c r="AV34" s="15">
        <v>3.0</v>
      </c>
      <c r="AW34" s="15">
        <v>1.0</v>
      </c>
      <c r="AX34" s="9">
        <v>0.0</v>
      </c>
      <c r="AY34" s="9">
        <v>0.0</v>
      </c>
      <c r="AZ34" s="9">
        <v>0.0</v>
      </c>
      <c r="BA34" s="15">
        <v>1.0</v>
      </c>
      <c r="BB34" s="9">
        <v>0.0</v>
      </c>
      <c r="BC34" s="9">
        <v>0.0</v>
      </c>
      <c r="BD34" s="9">
        <v>0.0</v>
      </c>
      <c r="BE34" s="9">
        <v>0.0</v>
      </c>
      <c r="BF34" s="15">
        <v>0.0</v>
      </c>
      <c r="BG34" s="15">
        <v>0.0</v>
      </c>
      <c r="BH34" s="9">
        <v>1.0</v>
      </c>
      <c r="BI34" s="9">
        <v>0.0</v>
      </c>
      <c r="BJ34" s="9">
        <v>0.0</v>
      </c>
      <c r="BK34" s="9">
        <v>0.0</v>
      </c>
      <c r="BL34" s="9">
        <v>0.0</v>
      </c>
    </row>
    <row r="35" ht="15.75" customHeight="1">
      <c r="A35" s="8" t="s">
        <v>103</v>
      </c>
      <c r="B35" s="8" t="s">
        <v>107</v>
      </c>
      <c r="C35" s="8" t="s">
        <v>138</v>
      </c>
      <c r="D35" s="9" t="s">
        <v>109</v>
      </c>
      <c r="E35" s="8" t="s">
        <v>124</v>
      </c>
      <c r="F35" s="19">
        <v>21352.0</v>
      </c>
      <c r="G35" s="18">
        <v>1571.0</v>
      </c>
      <c r="H35" s="9">
        <v>30.0</v>
      </c>
      <c r="I35" s="20">
        <v>118.0</v>
      </c>
      <c r="J35" s="20">
        <v>1.54</v>
      </c>
      <c r="K35" s="16">
        <v>31.59324332</v>
      </c>
      <c r="L35" s="13">
        <v>1730.0</v>
      </c>
      <c r="M35" s="14">
        <v>177.57666666666663</v>
      </c>
      <c r="N35" s="9">
        <f t="shared" si="1"/>
        <v>1</v>
      </c>
      <c r="O35" s="9">
        <f t="shared" si="2"/>
        <v>1</v>
      </c>
      <c r="P35" s="9">
        <f t="shared" si="3"/>
        <v>6</v>
      </c>
      <c r="Q35" s="9">
        <f t="shared" si="4"/>
        <v>1</v>
      </c>
      <c r="R35" s="9">
        <f t="shared" si="5"/>
        <v>10</v>
      </c>
      <c r="S35" s="9">
        <f t="shared" si="6"/>
        <v>1</v>
      </c>
      <c r="T35" s="9">
        <f t="shared" si="7"/>
        <v>4.683402023</v>
      </c>
      <c r="U35" s="9">
        <f t="shared" si="8"/>
        <v>4.683402023</v>
      </c>
      <c r="V35" s="9"/>
      <c r="W35" s="9"/>
      <c r="X35" s="9"/>
      <c r="Y35" s="9"/>
      <c r="Z35" s="9">
        <v>55.85589510553847</v>
      </c>
      <c r="AA35" s="9">
        <v>21.837732618666667</v>
      </c>
      <c r="AB35" s="9">
        <v>6.857076E-7</v>
      </c>
      <c r="AC35" s="9">
        <v>0.0</v>
      </c>
      <c r="AD35" s="9">
        <v>0.0</v>
      </c>
      <c r="AE35" s="9">
        <v>0.0</v>
      </c>
      <c r="AF35" s="9">
        <v>0.0</v>
      </c>
      <c r="AG35" s="15">
        <v>1.0</v>
      </c>
      <c r="AH35" s="9">
        <v>0.0</v>
      </c>
      <c r="AI35" s="15">
        <v>1.0</v>
      </c>
      <c r="AJ35" s="15">
        <v>1.0</v>
      </c>
      <c r="AK35" s="15">
        <v>1.0</v>
      </c>
      <c r="AL35" s="15">
        <v>2.0</v>
      </c>
      <c r="AM35" s="15">
        <v>1.0</v>
      </c>
      <c r="AN35" s="15">
        <v>0.0</v>
      </c>
      <c r="AO35" s="15">
        <v>0.0</v>
      </c>
      <c r="AP35" s="15">
        <v>0.0</v>
      </c>
      <c r="AQ35" s="15">
        <v>5.0</v>
      </c>
      <c r="AR35" s="15">
        <v>1.0</v>
      </c>
      <c r="AS35" s="15">
        <v>4.0</v>
      </c>
      <c r="AT35" s="15">
        <v>0.0</v>
      </c>
      <c r="AU35" s="9">
        <v>0.0</v>
      </c>
      <c r="AV35" s="15">
        <v>1.0</v>
      </c>
      <c r="AW35" s="9">
        <v>0.0</v>
      </c>
      <c r="AX35" s="9">
        <v>0.0</v>
      </c>
      <c r="AY35" s="9">
        <v>0.0</v>
      </c>
      <c r="AZ35" s="9">
        <v>0.0</v>
      </c>
      <c r="BA35" s="9">
        <v>0.0</v>
      </c>
      <c r="BB35" s="15">
        <v>1.0</v>
      </c>
      <c r="BC35" s="9">
        <v>0.0</v>
      </c>
      <c r="BD35" s="9">
        <v>0.0</v>
      </c>
      <c r="BE35" s="9">
        <v>0.0</v>
      </c>
      <c r="BF35" s="15">
        <v>0.0</v>
      </c>
      <c r="BG35" s="9">
        <v>0.0</v>
      </c>
      <c r="BH35" s="15">
        <v>0.0</v>
      </c>
      <c r="BI35" s="9">
        <v>0.0</v>
      </c>
      <c r="BJ35" s="9">
        <v>1.0</v>
      </c>
      <c r="BK35" s="9">
        <v>0.0</v>
      </c>
      <c r="BL35" s="9">
        <v>0.0</v>
      </c>
    </row>
    <row r="36" ht="15.75" customHeight="1">
      <c r="A36" s="8" t="s">
        <v>103</v>
      </c>
      <c r="B36" s="8" t="s">
        <v>110</v>
      </c>
      <c r="C36" s="8" t="s">
        <v>139</v>
      </c>
      <c r="D36" s="9" t="s">
        <v>112</v>
      </c>
      <c r="E36" s="8" t="s">
        <v>124</v>
      </c>
      <c r="F36" s="19">
        <v>6141.0</v>
      </c>
      <c r="G36" s="18">
        <v>5394.0</v>
      </c>
      <c r="H36" s="9">
        <v>84.0</v>
      </c>
      <c r="I36" s="20">
        <v>153.0</v>
      </c>
      <c r="J36" s="20">
        <v>2.4</v>
      </c>
      <c r="K36" s="16">
        <v>1881.938412</v>
      </c>
      <c r="L36" s="13">
        <v>4891.0</v>
      </c>
      <c r="M36" s="9">
        <v>118.73</v>
      </c>
      <c r="N36" s="9">
        <f t="shared" si="1"/>
        <v>0</v>
      </c>
      <c r="O36" s="9">
        <f t="shared" si="2"/>
        <v>0</v>
      </c>
      <c r="P36" s="9">
        <f t="shared" si="3"/>
        <v>6</v>
      </c>
      <c r="Q36" s="9">
        <f t="shared" si="4"/>
        <v>0</v>
      </c>
      <c r="R36" s="9">
        <f t="shared" si="5"/>
        <v>4</v>
      </c>
      <c r="S36" s="9">
        <f t="shared" si="6"/>
        <v>0</v>
      </c>
      <c r="T36" s="9">
        <f t="shared" si="7"/>
        <v>0</v>
      </c>
      <c r="U36" s="9">
        <f t="shared" si="8"/>
        <v>0</v>
      </c>
      <c r="V36" s="9"/>
      <c r="W36" s="9"/>
      <c r="X36" s="9"/>
      <c r="Y36" s="9"/>
      <c r="Z36" s="9">
        <v>81.77135461837983</v>
      </c>
      <c r="AA36" s="9">
        <v>21.326563245833334</v>
      </c>
      <c r="AB36" s="9">
        <v>3.384102E-7</v>
      </c>
      <c r="AC36" s="9">
        <v>0.0</v>
      </c>
      <c r="AD36" s="9">
        <v>0.0</v>
      </c>
      <c r="AE36" s="9">
        <v>0.0</v>
      </c>
      <c r="AF36" s="9">
        <v>0.0</v>
      </c>
      <c r="AG36" s="9">
        <v>0.0</v>
      </c>
      <c r="AH36" s="9">
        <v>0.0</v>
      </c>
      <c r="AI36" s="15">
        <v>1.0</v>
      </c>
      <c r="AJ36" s="15">
        <v>2.0</v>
      </c>
      <c r="AK36" s="15">
        <v>1.0</v>
      </c>
      <c r="AL36" s="9">
        <v>0.0</v>
      </c>
      <c r="AM36" s="15">
        <v>2.0</v>
      </c>
      <c r="AN36" s="15">
        <v>0.0</v>
      </c>
      <c r="AO36" s="15">
        <v>1.0</v>
      </c>
      <c r="AP36" s="15">
        <v>0.0</v>
      </c>
      <c r="AQ36" s="15">
        <v>1.0</v>
      </c>
      <c r="AR36" s="9">
        <v>1.0</v>
      </c>
      <c r="AS36" s="15">
        <v>1.0</v>
      </c>
      <c r="AT36" s="15">
        <v>0.0</v>
      </c>
      <c r="AU36" s="9">
        <v>0.0</v>
      </c>
      <c r="AV36" s="9">
        <v>0.0</v>
      </c>
      <c r="AW36" s="9">
        <v>0.0</v>
      </c>
      <c r="AX36" s="9">
        <v>0.0</v>
      </c>
      <c r="AY36" s="9">
        <v>0.0</v>
      </c>
      <c r="AZ36" s="9">
        <v>0.0</v>
      </c>
      <c r="BA36" s="9">
        <v>0.0</v>
      </c>
      <c r="BB36" s="9">
        <v>0.0</v>
      </c>
      <c r="BC36" s="9">
        <v>0.0</v>
      </c>
      <c r="BD36" s="9">
        <v>0.0</v>
      </c>
      <c r="BE36" s="9">
        <v>0.0</v>
      </c>
      <c r="BF36" s="15">
        <v>0.0</v>
      </c>
      <c r="BG36" s="9">
        <v>0.0</v>
      </c>
      <c r="BH36" s="9">
        <v>0.0</v>
      </c>
      <c r="BI36" s="9">
        <v>0.0</v>
      </c>
      <c r="BJ36" s="9">
        <v>0.0</v>
      </c>
      <c r="BK36" s="9">
        <v>0.0</v>
      </c>
      <c r="BL36" s="9">
        <v>0.0</v>
      </c>
    </row>
    <row r="37" ht="15.75" customHeight="1">
      <c r="A37" s="8" t="s">
        <v>113</v>
      </c>
      <c r="B37" s="8" t="s">
        <v>114</v>
      </c>
      <c r="C37" s="8" t="s">
        <v>140</v>
      </c>
      <c r="D37" s="9" t="s">
        <v>116</v>
      </c>
      <c r="E37" s="8" t="s">
        <v>124</v>
      </c>
      <c r="F37" s="19">
        <v>7924.0</v>
      </c>
      <c r="G37" s="18">
        <v>3058.0</v>
      </c>
      <c r="H37" s="9">
        <v>29.0</v>
      </c>
      <c r="I37" s="20">
        <v>489.0</v>
      </c>
      <c r="J37" s="20">
        <v>8.1</v>
      </c>
      <c r="K37" s="16">
        <v>4531.532506</v>
      </c>
      <c r="L37" s="13">
        <v>8921.0</v>
      </c>
      <c r="M37" s="14">
        <v>136.18083333333334</v>
      </c>
      <c r="N37" s="9">
        <f t="shared" si="1"/>
        <v>13</v>
      </c>
      <c r="O37" s="9">
        <f t="shared" si="2"/>
        <v>31</v>
      </c>
      <c r="P37" s="9">
        <f t="shared" si="3"/>
        <v>2</v>
      </c>
      <c r="Q37" s="9">
        <f t="shared" si="4"/>
        <v>2</v>
      </c>
      <c r="R37" s="9">
        <f t="shared" si="5"/>
        <v>3</v>
      </c>
      <c r="S37" s="9">
        <f t="shared" si="6"/>
        <v>0</v>
      </c>
      <c r="T37" s="9">
        <f t="shared" si="7"/>
        <v>164.0585563</v>
      </c>
      <c r="U37" s="9">
        <f t="shared" si="8"/>
        <v>391.2165573</v>
      </c>
      <c r="V37" s="9"/>
      <c r="W37" s="9"/>
      <c r="X37" s="9"/>
      <c r="Y37" s="9"/>
      <c r="Z37" s="9">
        <v>110.19118486642536</v>
      </c>
      <c r="AA37" s="9">
        <v>125.07099679333334</v>
      </c>
      <c r="AB37" s="9">
        <v>1.4551E-7</v>
      </c>
      <c r="AC37" s="15">
        <v>2.0</v>
      </c>
      <c r="AD37" s="15">
        <v>3.0</v>
      </c>
      <c r="AE37" s="9">
        <v>0.0</v>
      </c>
      <c r="AF37" s="15">
        <v>4.0</v>
      </c>
      <c r="AG37" s="15">
        <v>2.0</v>
      </c>
      <c r="AH37" s="15">
        <v>2.0</v>
      </c>
      <c r="AI37" s="9">
        <v>0.0</v>
      </c>
      <c r="AJ37" s="15">
        <v>2.0</v>
      </c>
      <c r="AK37" s="9">
        <v>0.0</v>
      </c>
      <c r="AL37" s="9">
        <v>0.0</v>
      </c>
      <c r="AM37" s="9">
        <v>0.0</v>
      </c>
      <c r="AN37" s="15">
        <v>0.0</v>
      </c>
      <c r="AO37" s="9">
        <v>0.0</v>
      </c>
      <c r="AP37" s="15">
        <v>1.0</v>
      </c>
      <c r="AQ37" s="9">
        <v>0.0</v>
      </c>
      <c r="AR37" s="9">
        <v>1.0</v>
      </c>
      <c r="AS37" s="9">
        <v>1.0</v>
      </c>
      <c r="AT37" s="15">
        <v>0.0</v>
      </c>
      <c r="AU37" s="15">
        <v>4.0</v>
      </c>
      <c r="AV37" s="15">
        <v>7.0</v>
      </c>
      <c r="AW37" s="15">
        <v>5.0</v>
      </c>
      <c r="AX37" s="15">
        <v>11.0</v>
      </c>
      <c r="AY37" s="15">
        <v>4.0</v>
      </c>
      <c r="AZ37" s="9">
        <v>0.0</v>
      </c>
      <c r="BA37" s="9">
        <v>0.0</v>
      </c>
      <c r="BB37" s="9">
        <v>0.0</v>
      </c>
      <c r="BC37" s="15">
        <v>1.0</v>
      </c>
      <c r="BD37" s="15">
        <v>1.0</v>
      </c>
      <c r="BE37" s="9">
        <v>0.0</v>
      </c>
      <c r="BF37" s="15">
        <v>0.0</v>
      </c>
      <c r="BG37" s="9">
        <v>0.0</v>
      </c>
      <c r="BH37" s="9">
        <v>0.0</v>
      </c>
      <c r="BI37" s="9">
        <v>0.0</v>
      </c>
      <c r="BJ37" s="15">
        <v>0.0</v>
      </c>
      <c r="BK37" s="9">
        <v>0.0</v>
      </c>
      <c r="BL37" s="9">
        <v>0.0</v>
      </c>
    </row>
    <row r="38" ht="15.75" customHeight="1">
      <c r="A38" s="8" t="s">
        <v>113</v>
      </c>
      <c r="B38" s="8" t="s">
        <v>117</v>
      </c>
      <c r="C38" s="8" t="s">
        <v>141</v>
      </c>
      <c r="D38" s="9" t="s">
        <v>119</v>
      </c>
      <c r="E38" s="8" t="s">
        <v>124</v>
      </c>
      <c r="F38" s="19">
        <v>8270.0</v>
      </c>
      <c r="G38" s="18">
        <v>3503.0</v>
      </c>
      <c r="H38" s="9">
        <v>19.0</v>
      </c>
      <c r="I38" s="20">
        <v>673.0</v>
      </c>
      <c r="J38" s="20">
        <v>9.5</v>
      </c>
      <c r="K38" s="16">
        <v>5280.794064</v>
      </c>
      <c r="L38" s="13">
        <v>5171.0</v>
      </c>
      <c r="M38" s="14">
        <v>126.96</v>
      </c>
      <c r="N38" s="9">
        <f t="shared" si="1"/>
        <v>6</v>
      </c>
      <c r="O38" s="9">
        <f t="shared" si="2"/>
        <v>27</v>
      </c>
      <c r="P38" s="9">
        <f t="shared" si="3"/>
        <v>11</v>
      </c>
      <c r="Q38" s="9">
        <f t="shared" si="4"/>
        <v>0</v>
      </c>
      <c r="R38" s="9">
        <f t="shared" si="5"/>
        <v>3</v>
      </c>
      <c r="S38" s="9">
        <f t="shared" si="6"/>
        <v>2</v>
      </c>
      <c r="T38" s="9">
        <f t="shared" si="7"/>
        <v>72.55139057</v>
      </c>
      <c r="U38" s="9">
        <f t="shared" si="8"/>
        <v>326.4812576</v>
      </c>
      <c r="V38" s="9"/>
      <c r="W38" s="9"/>
      <c r="X38" s="9"/>
      <c r="Y38" s="9"/>
      <c r="Z38" s="9">
        <v>54.831301909818144</v>
      </c>
      <c r="AA38" s="9">
        <v>14.205098370833333</v>
      </c>
      <c r="AB38" s="9">
        <v>1.984734E-6</v>
      </c>
      <c r="AC38" s="9">
        <v>0.0</v>
      </c>
      <c r="AD38" s="15">
        <v>1.0</v>
      </c>
      <c r="AE38" s="9">
        <v>0.0</v>
      </c>
      <c r="AF38" s="9">
        <v>0.0</v>
      </c>
      <c r="AG38" s="15">
        <v>3.0</v>
      </c>
      <c r="AH38" s="15">
        <v>2.0</v>
      </c>
      <c r="AI38" s="9">
        <v>0.0</v>
      </c>
      <c r="AJ38" s="15">
        <v>4.0</v>
      </c>
      <c r="AK38" s="15">
        <v>3.0</v>
      </c>
      <c r="AL38" s="15">
        <v>4.0</v>
      </c>
      <c r="AM38" s="9">
        <v>0.0</v>
      </c>
      <c r="AN38" s="15">
        <v>0.0</v>
      </c>
      <c r="AO38" s="9">
        <v>1.0</v>
      </c>
      <c r="AP38" s="15">
        <v>0.0</v>
      </c>
      <c r="AQ38" s="15">
        <v>1.0</v>
      </c>
      <c r="AR38" s="15">
        <v>0.0</v>
      </c>
      <c r="AS38" s="9">
        <v>1.0</v>
      </c>
      <c r="AT38" s="15">
        <v>0.0</v>
      </c>
      <c r="AU38" s="15">
        <v>2.0</v>
      </c>
      <c r="AV38" s="9">
        <v>0.0</v>
      </c>
      <c r="AW38" s="15">
        <v>5.0</v>
      </c>
      <c r="AX38" s="15">
        <v>3.0</v>
      </c>
      <c r="AY38" s="15">
        <v>8.0</v>
      </c>
      <c r="AZ38" s="15">
        <v>9.0</v>
      </c>
      <c r="BA38" s="9">
        <v>0.0</v>
      </c>
      <c r="BB38" s="9">
        <v>0.0</v>
      </c>
      <c r="BC38" s="9">
        <v>0.0</v>
      </c>
      <c r="BD38" s="9">
        <v>0.0</v>
      </c>
      <c r="BE38" s="9">
        <v>0.0</v>
      </c>
      <c r="BF38" s="15">
        <v>0.0</v>
      </c>
      <c r="BG38" s="9">
        <v>1.0</v>
      </c>
      <c r="BH38" s="9">
        <v>0.0</v>
      </c>
      <c r="BI38" s="9">
        <v>0.0</v>
      </c>
      <c r="BJ38" s="9">
        <v>1.0</v>
      </c>
      <c r="BK38" s="9">
        <v>0.0</v>
      </c>
      <c r="BL38" s="9">
        <v>0.0</v>
      </c>
    </row>
    <row r="39" ht="15.75" customHeight="1">
      <c r="A39" s="8" t="s">
        <v>113</v>
      </c>
      <c r="B39" s="8" t="s">
        <v>120</v>
      </c>
      <c r="C39" s="8" t="s">
        <v>142</v>
      </c>
      <c r="D39" s="9" t="s">
        <v>122</v>
      </c>
      <c r="E39" s="8" t="s">
        <v>124</v>
      </c>
      <c r="F39" s="19">
        <v>13719.0</v>
      </c>
      <c r="G39" s="18">
        <v>3516.0</v>
      </c>
      <c r="H39" s="9">
        <v>31.0</v>
      </c>
      <c r="I39" s="9">
        <v>412.0</v>
      </c>
      <c r="J39" s="9">
        <v>7.45</v>
      </c>
      <c r="K39" s="16">
        <v>18632.49884</v>
      </c>
      <c r="L39" s="13">
        <v>25454.0</v>
      </c>
      <c r="M39" s="14">
        <v>95.66249999999998</v>
      </c>
      <c r="N39" s="9">
        <f t="shared" si="1"/>
        <v>1</v>
      </c>
      <c r="O39" s="9">
        <f t="shared" si="2"/>
        <v>43</v>
      </c>
      <c r="P39" s="9">
        <f t="shared" si="3"/>
        <v>23</v>
      </c>
      <c r="Q39" s="9">
        <f t="shared" si="4"/>
        <v>5</v>
      </c>
      <c r="R39" s="9">
        <f t="shared" si="5"/>
        <v>3</v>
      </c>
      <c r="S39" s="9">
        <f t="shared" si="6"/>
        <v>3</v>
      </c>
      <c r="T39" s="9">
        <f t="shared" si="7"/>
        <v>7.289161018</v>
      </c>
      <c r="U39" s="9">
        <f t="shared" si="8"/>
        <v>313.4339238</v>
      </c>
      <c r="V39" s="9"/>
      <c r="W39" s="9"/>
      <c r="X39" s="9"/>
      <c r="Y39" s="9"/>
      <c r="Z39" s="9">
        <v>66.56867297438805</v>
      </c>
      <c r="AA39" s="9">
        <v>28.04439201</v>
      </c>
      <c r="AB39" s="9">
        <v>1.100434E-7</v>
      </c>
      <c r="AC39" s="9">
        <v>0.0</v>
      </c>
      <c r="AD39" s="9">
        <v>0.0</v>
      </c>
      <c r="AE39" s="9">
        <v>0.0</v>
      </c>
      <c r="AF39" s="15">
        <v>1.0</v>
      </c>
      <c r="AG39" s="9">
        <v>0.0</v>
      </c>
      <c r="AH39" s="9">
        <v>0.0</v>
      </c>
      <c r="AI39" s="15">
        <v>5.0</v>
      </c>
      <c r="AJ39" s="15">
        <v>6.0</v>
      </c>
      <c r="AK39" s="15">
        <v>2.0</v>
      </c>
      <c r="AL39" s="15">
        <v>8.0</v>
      </c>
      <c r="AM39" s="15">
        <v>2.0</v>
      </c>
      <c r="AN39" s="15">
        <v>0.0</v>
      </c>
      <c r="AO39" s="15">
        <v>0.0</v>
      </c>
      <c r="AP39" s="15">
        <v>2.0</v>
      </c>
      <c r="AQ39" s="15">
        <v>1.0</v>
      </c>
      <c r="AR39" s="15">
        <v>0.0</v>
      </c>
      <c r="AS39" s="15">
        <v>0.0</v>
      </c>
      <c r="AT39" s="15">
        <v>0.0</v>
      </c>
      <c r="AU39" s="15">
        <v>10.0</v>
      </c>
      <c r="AV39" s="15">
        <v>1.0</v>
      </c>
      <c r="AW39" s="15">
        <v>5.0</v>
      </c>
      <c r="AX39" s="15">
        <v>12.0</v>
      </c>
      <c r="AY39" s="15">
        <v>15.0</v>
      </c>
      <c r="AZ39" s="9">
        <v>0.0</v>
      </c>
      <c r="BA39" s="15">
        <v>3.0</v>
      </c>
      <c r="BB39" s="9">
        <v>0.0</v>
      </c>
      <c r="BC39" s="15">
        <v>1.0</v>
      </c>
      <c r="BD39" s="15">
        <v>1.0</v>
      </c>
      <c r="BE39" s="9">
        <v>0.0</v>
      </c>
      <c r="BF39" s="15">
        <v>0.0</v>
      </c>
      <c r="BG39" s="15">
        <v>2.0</v>
      </c>
      <c r="BH39" s="9">
        <v>1.0</v>
      </c>
      <c r="BI39" s="9">
        <v>0.0</v>
      </c>
      <c r="BJ39" s="15">
        <v>0.0</v>
      </c>
      <c r="BK39" s="9">
        <v>0.0</v>
      </c>
      <c r="BL39" s="9">
        <v>0.0</v>
      </c>
    </row>
    <row r="40" ht="15.75" customHeight="1">
      <c r="A40" s="8"/>
      <c r="B40" s="8"/>
      <c r="C40" s="8"/>
      <c r="D40" s="9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</row>
    <row r="41" ht="15.75" customHeight="1">
      <c r="A41" s="8"/>
      <c r="B41" s="8"/>
      <c r="C41" s="8"/>
      <c r="D41" s="9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</row>
    <row r="42" ht="15.75" customHeight="1">
      <c r="A42" s="8"/>
      <c r="B42" s="8"/>
      <c r="C42" s="8"/>
      <c r="D42" s="9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</row>
    <row r="43" ht="15.75" customHeight="1">
      <c r="A43" s="8"/>
      <c r="B43" s="22"/>
      <c r="C43" s="22"/>
      <c r="D43" s="9"/>
      <c r="E43" s="8"/>
      <c r="F43" s="9"/>
      <c r="G43" s="22"/>
      <c r="H43" s="2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</row>
    <row r="44" ht="15.75" customHeight="1">
      <c r="A44" s="8"/>
      <c r="B44" s="22"/>
      <c r="C44" s="22"/>
      <c r="D44" s="9"/>
      <c r="E44" s="8"/>
      <c r="F44" s="9"/>
      <c r="G44" s="22"/>
      <c r="H44" s="22"/>
      <c r="I44" s="9"/>
      <c r="J44" s="9"/>
      <c r="K44" s="23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</row>
    <row r="45" ht="15.75" customHeight="1">
      <c r="A45" s="8"/>
      <c r="B45" s="22"/>
      <c r="C45" s="22"/>
      <c r="D45" s="9"/>
      <c r="E45" s="8"/>
      <c r="F45" s="9"/>
      <c r="G45" s="22"/>
      <c r="H45" s="22"/>
      <c r="I45" s="9"/>
      <c r="J45" s="9"/>
      <c r="K45" s="23"/>
      <c r="L45" s="24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</row>
    <row r="46" ht="15.75" customHeight="1">
      <c r="A46" s="8"/>
      <c r="B46" s="22"/>
      <c r="C46" s="22"/>
      <c r="D46" s="9"/>
      <c r="E46" s="8"/>
      <c r="F46" s="9"/>
      <c r="G46" s="22"/>
      <c r="H46" s="22"/>
      <c r="I46" s="9"/>
      <c r="J46" s="9"/>
      <c r="K46" s="23"/>
      <c r="L46" s="24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</row>
    <row r="47" ht="15.75" customHeight="1">
      <c r="A47" s="8"/>
      <c r="B47" s="22"/>
      <c r="C47" s="22"/>
      <c r="D47" s="9"/>
      <c r="E47" s="8"/>
      <c r="F47" s="9"/>
      <c r="G47" s="22"/>
      <c r="H47" s="22"/>
      <c r="I47" s="9"/>
      <c r="J47" s="9"/>
      <c r="K47" s="23"/>
      <c r="L47" s="24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</row>
    <row r="48" ht="15.75" customHeight="1">
      <c r="A48" s="8"/>
      <c r="B48" s="22"/>
      <c r="C48" s="22"/>
      <c r="D48" s="9"/>
      <c r="E48" s="8"/>
      <c r="F48" s="9"/>
      <c r="G48" s="22"/>
      <c r="H48" s="22"/>
      <c r="I48" s="9"/>
      <c r="J48" s="9"/>
      <c r="K48" s="23"/>
      <c r="L48" s="24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</row>
    <row r="49" ht="15.75" customHeight="1">
      <c r="A49" s="8"/>
      <c r="B49" s="22"/>
      <c r="C49" s="22"/>
      <c r="D49" s="9"/>
      <c r="E49" s="8"/>
      <c r="F49" s="9"/>
      <c r="G49" s="22"/>
      <c r="H49" s="22"/>
      <c r="I49" s="9"/>
      <c r="J49" s="9"/>
      <c r="K49" s="23"/>
      <c r="L49" s="24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</row>
    <row r="50" ht="15.75" customHeight="1">
      <c r="A50" s="8"/>
      <c r="B50" s="22"/>
      <c r="C50" s="22"/>
      <c r="D50" s="9"/>
      <c r="E50" s="8"/>
      <c r="F50" s="9"/>
      <c r="G50" s="22"/>
      <c r="H50" s="22"/>
      <c r="I50" s="9"/>
      <c r="J50" s="9"/>
      <c r="K50" s="9"/>
      <c r="L50" s="24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</row>
    <row r="51" ht="15.75" customHeight="1">
      <c r="A51" s="8"/>
      <c r="B51" s="22"/>
      <c r="C51" s="22"/>
      <c r="D51" s="9"/>
      <c r="E51" s="8"/>
      <c r="F51" s="9"/>
      <c r="G51" s="22"/>
      <c r="H51" s="22"/>
      <c r="I51" s="9"/>
      <c r="J51" s="9"/>
      <c r="K51" s="9"/>
      <c r="L51" s="24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</row>
    <row r="52" ht="15.75" customHeight="1">
      <c r="A52" s="8"/>
      <c r="B52" s="22"/>
      <c r="C52" s="22"/>
      <c r="D52" s="9"/>
      <c r="E52" s="8"/>
      <c r="F52" s="9"/>
      <c r="G52" s="22"/>
      <c r="H52" s="22"/>
      <c r="I52" s="9"/>
      <c r="J52" s="9"/>
      <c r="K52" s="9"/>
      <c r="L52" s="24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</row>
    <row r="53" ht="15.75" customHeight="1">
      <c r="A53" s="8"/>
      <c r="B53" s="22"/>
      <c r="C53" s="22"/>
      <c r="D53" s="9"/>
      <c r="E53" s="8"/>
      <c r="F53" s="9"/>
      <c r="G53" s="22"/>
      <c r="H53" s="22"/>
      <c r="I53" s="9"/>
      <c r="J53" s="9"/>
      <c r="K53" s="9"/>
      <c r="L53" s="24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</row>
    <row r="54" ht="15.75" customHeight="1">
      <c r="A54" s="8"/>
      <c r="B54" s="22"/>
      <c r="C54" s="22"/>
      <c r="D54" s="9"/>
      <c r="E54" s="8"/>
      <c r="F54" s="9"/>
      <c r="G54" s="22"/>
      <c r="H54" s="22"/>
      <c r="I54" s="9"/>
      <c r="J54" s="9"/>
      <c r="K54" s="9"/>
      <c r="L54" s="24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</row>
    <row r="55" ht="15.75" customHeight="1">
      <c r="A55" s="8"/>
      <c r="B55" s="22"/>
      <c r="C55" s="22"/>
      <c r="D55" s="9"/>
      <c r="E55" s="8"/>
      <c r="F55" s="9"/>
      <c r="G55" s="22"/>
      <c r="H55" s="22"/>
      <c r="I55" s="9"/>
      <c r="J55" s="9"/>
      <c r="K55" s="9"/>
      <c r="L55" s="24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</row>
    <row r="56" ht="15.75" customHeight="1">
      <c r="A56" s="8"/>
      <c r="B56" s="22"/>
      <c r="C56" s="22"/>
      <c r="D56" s="9"/>
      <c r="E56" s="8"/>
      <c r="F56" s="9"/>
      <c r="G56" s="22"/>
      <c r="H56" s="22"/>
      <c r="I56" s="9"/>
      <c r="J56" s="9"/>
      <c r="K56" s="9"/>
      <c r="L56" s="24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</row>
    <row r="57" ht="15.75" customHeight="1">
      <c r="A57" s="8"/>
      <c r="B57" s="22"/>
      <c r="C57" s="22"/>
      <c r="D57" s="9"/>
      <c r="E57" s="8"/>
      <c r="F57" s="9"/>
      <c r="G57" s="22"/>
      <c r="H57" s="22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</row>
    <row r="58" ht="15.75" customHeight="1">
      <c r="A58" s="8"/>
      <c r="B58" s="22"/>
      <c r="C58" s="22"/>
      <c r="D58" s="9"/>
      <c r="E58" s="8"/>
      <c r="F58" s="9"/>
      <c r="G58" s="22"/>
      <c r="H58" s="22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</row>
    <row r="59" ht="15.75" customHeight="1">
      <c r="A59" s="8"/>
      <c r="B59" s="22"/>
      <c r="C59" s="22"/>
      <c r="D59" s="9"/>
      <c r="E59" s="8"/>
      <c r="F59" s="9"/>
      <c r="G59" s="22"/>
      <c r="H59" s="22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</row>
    <row r="60" ht="15.75" customHeight="1">
      <c r="A60" s="8"/>
      <c r="B60" s="22"/>
      <c r="C60" s="22"/>
      <c r="D60" s="9"/>
      <c r="E60" s="8"/>
      <c r="F60" s="9"/>
      <c r="G60" s="22"/>
      <c r="H60" s="22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</row>
    <row r="61" ht="15.75" customHeight="1">
      <c r="A61" s="8"/>
      <c r="B61" s="22"/>
      <c r="C61" s="22"/>
      <c r="D61" s="9"/>
      <c r="E61" s="8"/>
      <c r="F61" s="9"/>
      <c r="G61" s="22"/>
      <c r="H61" s="22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</row>
    <row r="62" ht="15.75" customHeight="1">
      <c r="A62" s="8"/>
      <c r="B62" s="22"/>
      <c r="C62" s="22"/>
      <c r="D62" s="9"/>
      <c r="E62" s="8"/>
      <c r="F62" s="9"/>
      <c r="G62" s="22"/>
      <c r="H62" s="22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</row>
    <row r="63" ht="15.75" customHeight="1">
      <c r="A63" s="8"/>
      <c r="B63" s="22"/>
      <c r="C63" s="22"/>
      <c r="D63" s="9"/>
      <c r="E63" s="8"/>
      <c r="F63" s="9"/>
      <c r="G63" s="22"/>
      <c r="H63" s="22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</row>
    <row r="64" ht="15.75" customHeight="1">
      <c r="A64" s="8"/>
      <c r="B64" s="22"/>
      <c r="C64" s="22"/>
      <c r="D64" s="9"/>
      <c r="E64" s="8"/>
      <c r="F64" s="9"/>
      <c r="G64" s="22"/>
      <c r="H64" s="22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</row>
    <row r="65" ht="15.75" customHeight="1">
      <c r="A65" s="8"/>
      <c r="B65" s="22"/>
      <c r="C65" s="22"/>
      <c r="D65" s="9"/>
      <c r="E65" s="8"/>
      <c r="F65" s="9"/>
      <c r="G65" s="22"/>
      <c r="H65" s="22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</row>
    <row r="66" ht="15.75" customHeight="1">
      <c r="A66" s="8"/>
      <c r="B66" s="22"/>
      <c r="C66" s="22"/>
      <c r="D66" s="9"/>
      <c r="E66" s="8"/>
      <c r="F66" s="9"/>
      <c r="G66" s="22"/>
      <c r="H66" s="22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</row>
    <row r="67" ht="15.75" customHeight="1">
      <c r="A67" s="8"/>
      <c r="B67" s="22"/>
      <c r="C67" s="22"/>
      <c r="D67" s="9"/>
      <c r="E67" s="8"/>
      <c r="F67" s="9"/>
      <c r="G67" s="22"/>
      <c r="H67" s="22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</row>
    <row r="68" ht="15.75" customHeight="1">
      <c r="A68" s="8"/>
      <c r="B68" s="22"/>
      <c r="C68" s="22"/>
      <c r="D68" s="9"/>
      <c r="E68" s="8"/>
      <c r="F68" s="9"/>
      <c r="G68" s="22"/>
      <c r="H68" s="22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</row>
    <row r="69" ht="15.75" customHeight="1">
      <c r="A69" s="8"/>
      <c r="B69" s="22"/>
      <c r="C69" s="22"/>
      <c r="D69" s="9"/>
      <c r="E69" s="8"/>
      <c r="F69" s="9"/>
      <c r="G69" s="22"/>
      <c r="H69" s="22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</row>
    <row r="70" ht="15.75" customHeight="1">
      <c r="A70" s="8"/>
      <c r="B70" s="22"/>
      <c r="C70" s="22"/>
      <c r="D70" s="9"/>
      <c r="E70" s="8"/>
      <c r="F70" s="9"/>
      <c r="G70" s="22"/>
      <c r="H70" s="22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</row>
    <row r="71" ht="15.75" customHeight="1">
      <c r="A71" s="8"/>
      <c r="B71" s="22"/>
      <c r="C71" s="22"/>
      <c r="D71" s="9"/>
      <c r="E71" s="8"/>
      <c r="F71" s="9"/>
      <c r="G71" s="22"/>
      <c r="H71" s="22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</row>
    <row r="72" ht="15.75" customHeight="1">
      <c r="A72" s="8"/>
      <c r="B72" s="22"/>
      <c r="C72" s="22"/>
      <c r="D72" s="9"/>
      <c r="E72" s="8"/>
      <c r="F72" s="9"/>
      <c r="G72" s="22"/>
      <c r="H72" s="22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</row>
    <row r="73" ht="15.75" customHeight="1">
      <c r="A73" s="8"/>
      <c r="B73" s="22"/>
      <c r="C73" s="22"/>
      <c r="D73" s="9"/>
      <c r="E73" s="8"/>
      <c r="F73" s="9"/>
      <c r="G73" s="22"/>
      <c r="H73" s="22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</row>
    <row r="74" ht="15.75" customHeight="1">
      <c r="A74" s="8"/>
      <c r="B74" s="22"/>
      <c r="C74" s="22"/>
      <c r="D74" s="9"/>
      <c r="E74" s="8"/>
      <c r="F74" s="9"/>
      <c r="G74" s="22"/>
      <c r="H74" s="22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</row>
    <row r="75" ht="15.75" customHeight="1">
      <c r="A75" s="8"/>
      <c r="B75" s="22"/>
      <c r="C75" s="22"/>
      <c r="D75" s="9"/>
      <c r="E75" s="8"/>
      <c r="F75" s="9"/>
      <c r="G75" s="22"/>
      <c r="H75" s="22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</row>
    <row r="76" ht="15.75" customHeight="1">
      <c r="A76" s="8"/>
      <c r="B76" s="22"/>
      <c r="C76" s="22"/>
      <c r="D76" s="9"/>
      <c r="E76" s="8"/>
      <c r="F76" s="9"/>
      <c r="G76" s="22"/>
      <c r="H76" s="22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</row>
    <row r="77" ht="15.75" customHeight="1">
      <c r="A77" s="8"/>
      <c r="B77" s="22"/>
      <c r="C77" s="22"/>
      <c r="D77" s="9"/>
      <c r="E77" s="8"/>
      <c r="F77" s="9"/>
      <c r="G77" s="22"/>
      <c r="H77" s="22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</row>
    <row r="78" ht="15.75" customHeight="1">
      <c r="A78" s="8"/>
      <c r="B78" s="22"/>
      <c r="C78" s="22"/>
      <c r="D78" s="9"/>
      <c r="E78" s="8"/>
      <c r="F78" s="9"/>
      <c r="G78" s="22"/>
      <c r="H78" s="22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</row>
    <row r="79" ht="15.75" customHeight="1">
      <c r="A79" s="8"/>
      <c r="B79" s="22"/>
      <c r="C79" s="22"/>
      <c r="D79" s="9"/>
      <c r="E79" s="8"/>
      <c r="F79" s="9"/>
      <c r="G79" s="22"/>
      <c r="H79" s="22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</row>
    <row r="80" ht="15.75" customHeight="1">
      <c r="A80" s="8"/>
      <c r="B80" s="22"/>
      <c r="C80" s="22"/>
      <c r="D80" s="9"/>
      <c r="E80" s="8"/>
      <c r="F80" s="9"/>
      <c r="G80" s="22"/>
      <c r="H80" s="22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</row>
    <row r="81" ht="15.75" customHeight="1">
      <c r="A81" s="8"/>
      <c r="B81" s="22"/>
      <c r="C81" s="22"/>
      <c r="D81" s="9"/>
      <c r="E81" s="8"/>
      <c r="F81" s="9"/>
      <c r="G81" s="22"/>
      <c r="H81" s="22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</row>
    <row r="82" ht="15.75" customHeight="1">
      <c r="A82" s="8"/>
      <c r="B82" s="22"/>
      <c r="C82" s="22"/>
      <c r="D82" s="9"/>
      <c r="E82" s="8"/>
      <c r="F82" s="9"/>
      <c r="G82" s="22"/>
      <c r="H82" s="22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</row>
    <row r="83" ht="15.75" customHeight="1">
      <c r="A83" s="8"/>
      <c r="B83" s="22"/>
      <c r="C83" s="22"/>
      <c r="D83" s="9"/>
      <c r="E83" s="8"/>
      <c r="F83" s="9"/>
      <c r="G83" s="22"/>
      <c r="H83" s="22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</row>
    <row r="84" ht="15.75" customHeight="1">
      <c r="A84" s="8"/>
      <c r="B84" s="22"/>
      <c r="C84" s="22"/>
      <c r="D84" s="9"/>
      <c r="E84" s="8"/>
      <c r="F84" s="9"/>
      <c r="G84" s="22"/>
      <c r="H84" s="22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</row>
    <row r="85" ht="15.75" customHeight="1">
      <c r="A85" s="8"/>
      <c r="B85" s="22"/>
      <c r="C85" s="22"/>
      <c r="D85" s="9"/>
      <c r="E85" s="8"/>
      <c r="F85" s="9"/>
      <c r="G85" s="22"/>
      <c r="H85" s="22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</row>
    <row r="86" ht="15.75" customHeight="1">
      <c r="A86" s="8"/>
      <c r="B86" s="22"/>
      <c r="C86" s="22"/>
      <c r="D86" s="9"/>
      <c r="E86" s="8"/>
      <c r="F86" s="9"/>
      <c r="G86" s="22"/>
      <c r="H86" s="22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</row>
    <row r="87" ht="15.75" customHeight="1">
      <c r="A87" s="8"/>
      <c r="B87" s="22"/>
      <c r="C87" s="22"/>
      <c r="D87" s="9"/>
      <c r="E87" s="8"/>
      <c r="F87" s="9"/>
      <c r="G87" s="22"/>
      <c r="H87" s="22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</row>
    <row r="88" ht="15.75" customHeight="1">
      <c r="A88" s="8"/>
      <c r="B88" s="22"/>
      <c r="C88" s="22"/>
      <c r="D88" s="9"/>
      <c r="E88" s="8"/>
      <c r="F88" s="9"/>
      <c r="G88" s="22"/>
      <c r="H88" s="22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</row>
    <row r="89" ht="15.75" customHeight="1">
      <c r="A89" s="8"/>
      <c r="B89" s="22"/>
      <c r="C89" s="22"/>
      <c r="D89" s="9"/>
      <c r="E89" s="8"/>
      <c r="F89" s="9"/>
      <c r="G89" s="22"/>
      <c r="H89" s="22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</row>
    <row r="90" ht="15.75" customHeight="1">
      <c r="A90" s="8"/>
      <c r="B90" s="22"/>
      <c r="C90" s="22"/>
      <c r="D90" s="9"/>
      <c r="E90" s="8"/>
      <c r="F90" s="9"/>
      <c r="G90" s="22"/>
      <c r="H90" s="22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</row>
    <row r="91" ht="15.75" customHeight="1">
      <c r="A91" s="8"/>
      <c r="B91" s="22"/>
      <c r="C91" s="22"/>
      <c r="D91" s="9"/>
      <c r="E91" s="8"/>
      <c r="F91" s="9"/>
      <c r="G91" s="22"/>
      <c r="H91" s="22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</row>
    <row r="92" ht="15.75" customHeight="1">
      <c r="A92" s="8"/>
      <c r="B92" s="22"/>
      <c r="C92" s="22"/>
      <c r="D92" s="9"/>
      <c r="E92" s="8"/>
      <c r="F92" s="9"/>
      <c r="G92" s="22"/>
      <c r="H92" s="22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</row>
    <row r="93" ht="15.75" customHeight="1">
      <c r="A93" s="8"/>
      <c r="B93" s="22"/>
      <c r="C93" s="22"/>
      <c r="D93" s="9"/>
      <c r="E93" s="8"/>
      <c r="F93" s="9"/>
      <c r="G93" s="22"/>
      <c r="H93" s="22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</row>
    <row r="94" ht="15.75" customHeight="1">
      <c r="A94" s="8"/>
      <c r="B94" s="22"/>
      <c r="C94" s="22"/>
      <c r="D94" s="9"/>
      <c r="E94" s="8"/>
      <c r="F94" s="9"/>
      <c r="G94" s="22"/>
      <c r="H94" s="22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</row>
    <row r="95" ht="15.75" customHeight="1">
      <c r="A95" s="8"/>
      <c r="B95" s="22"/>
      <c r="C95" s="22"/>
      <c r="D95" s="9"/>
      <c r="E95" s="8"/>
      <c r="F95" s="9"/>
      <c r="G95" s="22"/>
      <c r="H95" s="22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</row>
    <row r="96" ht="15.75" customHeight="1">
      <c r="A96" s="8"/>
      <c r="B96" s="22"/>
      <c r="C96" s="22"/>
      <c r="D96" s="9"/>
      <c r="E96" s="8"/>
      <c r="F96" s="9"/>
      <c r="G96" s="22"/>
      <c r="H96" s="22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</row>
    <row r="97" ht="15.75" customHeight="1">
      <c r="A97" s="8"/>
      <c r="B97" s="22"/>
      <c r="C97" s="22"/>
      <c r="D97" s="9"/>
      <c r="E97" s="8"/>
      <c r="F97" s="9"/>
      <c r="G97" s="22"/>
      <c r="H97" s="22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</row>
    <row r="98" ht="15.75" customHeight="1">
      <c r="A98" s="8"/>
      <c r="B98" s="22"/>
      <c r="C98" s="22"/>
      <c r="D98" s="9"/>
      <c r="E98" s="8"/>
      <c r="F98" s="9"/>
      <c r="G98" s="22"/>
      <c r="H98" s="22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</row>
    <row r="99" ht="15.75" customHeight="1">
      <c r="A99" s="8"/>
      <c r="B99" s="22"/>
      <c r="C99" s="22"/>
      <c r="D99" s="9"/>
      <c r="E99" s="8"/>
      <c r="F99" s="9"/>
      <c r="G99" s="22"/>
      <c r="H99" s="22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</row>
    <row r="100" ht="15.75" customHeight="1">
      <c r="A100" s="8"/>
      <c r="B100" s="22"/>
      <c r="C100" s="22"/>
      <c r="D100" s="9"/>
      <c r="E100" s="8"/>
      <c r="F100" s="9"/>
      <c r="G100" s="22"/>
      <c r="H100" s="22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</row>
    <row r="101" ht="15.75" customHeight="1">
      <c r="A101" s="8"/>
      <c r="B101" s="22"/>
      <c r="C101" s="22"/>
      <c r="D101" s="9"/>
      <c r="E101" s="8"/>
      <c r="F101" s="9"/>
      <c r="G101" s="22"/>
      <c r="H101" s="22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</row>
    <row r="102" ht="15.75" customHeight="1">
      <c r="A102" s="8"/>
      <c r="B102" s="22"/>
      <c r="C102" s="22"/>
      <c r="D102" s="9"/>
      <c r="E102" s="8"/>
      <c r="F102" s="9"/>
      <c r="G102" s="22"/>
      <c r="H102" s="22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</row>
    <row r="103" ht="15.75" customHeight="1">
      <c r="A103" s="8"/>
      <c r="B103" s="22"/>
      <c r="C103" s="22"/>
      <c r="D103" s="9"/>
      <c r="E103" s="8"/>
      <c r="F103" s="9"/>
      <c r="G103" s="22"/>
      <c r="H103" s="22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</row>
    <row r="104" ht="15.75" customHeight="1">
      <c r="A104" s="8"/>
      <c r="B104" s="22"/>
      <c r="C104" s="22"/>
      <c r="D104" s="9"/>
      <c r="E104" s="8"/>
      <c r="F104" s="9"/>
      <c r="G104" s="22"/>
      <c r="H104" s="22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</row>
    <row r="105" ht="15.75" customHeight="1">
      <c r="A105" s="8"/>
      <c r="B105" s="22"/>
      <c r="C105" s="22"/>
      <c r="D105" s="9"/>
      <c r="E105" s="8"/>
      <c r="F105" s="9"/>
      <c r="G105" s="22"/>
      <c r="H105" s="22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</row>
    <row r="106" ht="15.75" customHeight="1">
      <c r="A106" s="8"/>
      <c r="B106" s="22"/>
      <c r="C106" s="22"/>
      <c r="D106" s="9"/>
      <c r="E106" s="8"/>
      <c r="F106" s="9"/>
      <c r="G106" s="22"/>
      <c r="H106" s="22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</row>
    <row r="107" ht="15.75" customHeight="1">
      <c r="A107" s="8"/>
      <c r="B107" s="22"/>
      <c r="C107" s="22"/>
      <c r="D107" s="9"/>
      <c r="E107" s="8"/>
      <c r="F107" s="9"/>
      <c r="G107" s="22"/>
      <c r="H107" s="22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</row>
    <row r="108" ht="15.75" customHeight="1">
      <c r="A108" s="8"/>
      <c r="B108" s="22"/>
      <c r="C108" s="22"/>
      <c r="D108" s="9"/>
      <c r="E108" s="8"/>
      <c r="F108" s="9"/>
      <c r="G108" s="22"/>
      <c r="H108" s="22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</row>
    <row r="109" ht="15.75" customHeight="1">
      <c r="A109" s="8"/>
      <c r="B109" s="22"/>
      <c r="C109" s="22"/>
      <c r="D109" s="9"/>
      <c r="E109" s="8"/>
      <c r="F109" s="9"/>
      <c r="G109" s="22"/>
      <c r="H109" s="22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</row>
    <row r="110" ht="15.75" customHeight="1">
      <c r="A110" s="8"/>
      <c r="B110" s="22"/>
      <c r="C110" s="22"/>
      <c r="D110" s="9"/>
      <c r="E110" s="8"/>
      <c r="F110" s="9"/>
      <c r="G110" s="22"/>
      <c r="H110" s="22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</row>
    <row r="111" ht="15.75" customHeight="1">
      <c r="A111" s="8"/>
      <c r="B111" s="22"/>
      <c r="C111" s="22"/>
      <c r="D111" s="9"/>
      <c r="E111" s="8"/>
      <c r="F111" s="9"/>
      <c r="G111" s="22"/>
      <c r="H111" s="22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</row>
    <row r="112" ht="15.75" customHeight="1">
      <c r="A112" s="8"/>
      <c r="B112" s="22"/>
      <c r="C112" s="22"/>
      <c r="D112" s="9"/>
      <c r="E112" s="8"/>
      <c r="F112" s="9"/>
      <c r="G112" s="22"/>
      <c r="H112" s="22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</row>
    <row r="113" ht="15.75" customHeight="1">
      <c r="A113" s="8"/>
      <c r="B113" s="22"/>
      <c r="C113" s="22"/>
      <c r="D113" s="9"/>
      <c r="E113" s="8"/>
      <c r="F113" s="9"/>
      <c r="G113" s="22"/>
      <c r="H113" s="22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</row>
    <row r="114" ht="15.75" customHeight="1">
      <c r="A114" s="8"/>
      <c r="B114" s="22"/>
      <c r="C114" s="22"/>
      <c r="D114" s="9"/>
      <c r="E114" s="8"/>
      <c r="F114" s="9"/>
      <c r="G114" s="22"/>
      <c r="H114" s="22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</row>
    <row r="115" ht="15.75" customHeight="1">
      <c r="A115" s="8"/>
      <c r="B115" s="22"/>
      <c r="C115" s="22"/>
      <c r="D115" s="9"/>
      <c r="E115" s="8"/>
      <c r="F115" s="9"/>
      <c r="G115" s="22"/>
      <c r="H115" s="22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</row>
    <row r="116" ht="15.75" customHeight="1">
      <c r="A116" s="8"/>
      <c r="B116" s="22"/>
      <c r="C116" s="22"/>
      <c r="D116" s="9"/>
      <c r="E116" s="8"/>
      <c r="F116" s="9"/>
      <c r="G116" s="22"/>
      <c r="H116" s="22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</row>
    <row r="117" ht="15.75" customHeight="1">
      <c r="A117" s="8"/>
      <c r="B117" s="22"/>
      <c r="C117" s="22"/>
      <c r="D117" s="9"/>
      <c r="E117" s="8"/>
      <c r="F117" s="9"/>
      <c r="G117" s="22"/>
      <c r="H117" s="22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</row>
    <row r="118" ht="15.75" customHeight="1">
      <c r="A118" s="8"/>
      <c r="B118" s="22"/>
      <c r="C118" s="22"/>
      <c r="D118" s="9"/>
      <c r="E118" s="8"/>
      <c r="F118" s="9"/>
      <c r="G118" s="22"/>
      <c r="H118" s="22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</row>
    <row r="119" ht="15.75" customHeight="1">
      <c r="A119" s="8"/>
      <c r="B119" s="22"/>
      <c r="C119" s="22"/>
      <c r="D119" s="9"/>
      <c r="E119" s="8"/>
      <c r="F119" s="9"/>
      <c r="G119" s="22"/>
      <c r="H119" s="22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</row>
    <row r="120" ht="15.75" customHeight="1">
      <c r="A120" s="8"/>
      <c r="B120" s="22"/>
      <c r="C120" s="22"/>
      <c r="D120" s="9"/>
      <c r="E120" s="8"/>
      <c r="F120" s="9"/>
      <c r="G120" s="22"/>
      <c r="H120" s="22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</row>
    <row r="121" ht="15.75" customHeight="1">
      <c r="A121" s="8"/>
      <c r="B121" s="22"/>
      <c r="C121" s="22"/>
      <c r="D121" s="9"/>
      <c r="E121" s="8"/>
      <c r="F121" s="9"/>
      <c r="G121" s="22"/>
      <c r="H121" s="22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</row>
    <row r="122" ht="15.75" customHeight="1">
      <c r="A122" s="8"/>
      <c r="B122" s="22"/>
      <c r="C122" s="22"/>
      <c r="D122" s="9"/>
      <c r="E122" s="8"/>
      <c r="F122" s="9"/>
      <c r="G122" s="22"/>
      <c r="H122" s="22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</row>
    <row r="123" ht="15.75" customHeight="1">
      <c r="A123" s="8"/>
      <c r="B123" s="22"/>
      <c r="C123" s="22"/>
      <c r="D123" s="9"/>
      <c r="E123" s="8"/>
      <c r="F123" s="9"/>
      <c r="G123" s="22"/>
      <c r="H123" s="22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</row>
    <row r="124" ht="15.75" customHeight="1">
      <c r="A124" s="8"/>
      <c r="B124" s="22"/>
      <c r="C124" s="22"/>
      <c r="D124" s="9"/>
      <c r="E124" s="8"/>
      <c r="F124" s="9"/>
      <c r="G124" s="22"/>
      <c r="H124" s="22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</row>
    <row r="125" ht="15.75" customHeight="1">
      <c r="A125" s="8"/>
      <c r="B125" s="22"/>
      <c r="C125" s="22"/>
      <c r="D125" s="9"/>
      <c r="E125" s="8"/>
      <c r="F125" s="9"/>
      <c r="G125" s="22"/>
      <c r="H125" s="22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</row>
    <row r="126" ht="15.75" customHeight="1">
      <c r="A126" s="8"/>
      <c r="B126" s="22"/>
      <c r="C126" s="22"/>
      <c r="D126" s="9"/>
      <c r="E126" s="8"/>
      <c r="F126" s="9"/>
      <c r="G126" s="22"/>
      <c r="H126" s="22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</row>
    <row r="127" ht="15.75" customHeight="1">
      <c r="A127" s="8"/>
      <c r="B127" s="22"/>
      <c r="C127" s="22"/>
      <c r="D127" s="9"/>
      <c r="E127" s="8"/>
      <c r="F127" s="9"/>
      <c r="G127" s="22"/>
      <c r="H127" s="22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</row>
    <row r="128" ht="15.75" customHeight="1">
      <c r="A128" s="8"/>
      <c r="B128" s="22"/>
      <c r="C128" s="22"/>
      <c r="D128" s="9"/>
      <c r="E128" s="8"/>
      <c r="F128" s="9"/>
      <c r="G128" s="22"/>
      <c r="H128" s="22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</row>
    <row r="129" ht="15.75" customHeight="1">
      <c r="A129" s="8"/>
      <c r="B129" s="22"/>
      <c r="C129" s="22"/>
      <c r="D129" s="9"/>
      <c r="E129" s="8"/>
      <c r="F129" s="9"/>
      <c r="G129" s="22"/>
      <c r="H129" s="22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</row>
    <row r="130" ht="15.75" customHeight="1">
      <c r="A130" s="8"/>
      <c r="B130" s="22"/>
      <c r="C130" s="22"/>
      <c r="D130" s="9"/>
      <c r="E130" s="8"/>
      <c r="F130" s="9"/>
      <c r="G130" s="22"/>
      <c r="H130" s="22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</row>
    <row r="131" ht="15.75" customHeight="1">
      <c r="A131" s="8"/>
      <c r="B131" s="22"/>
      <c r="C131" s="22"/>
      <c r="D131" s="9"/>
      <c r="E131" s="8"/>
      <c r="F131" s="9"/>
      <c r="G131" s="22"/>
      <c r="H131" s="22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</row>
    <row r="132" ht="15.75" customHeight="1">
      <c r="A132" s="8"/>
      <c r="B132" s="22"/>
      <c r="C132" s="22"/>
      <c r="D132" s="9"/>
      <c r="E132" s="8"/>
      <c r="F132" s="9"/>
      <c r="G132" s="22"/>
      <c r="H132" s="22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</row>
    <row r="133" ht="15.75" customHeight="1">
      <c r="A133" s="8"/>
      <c r="B133" s="22"/>
      <c r="C133" s="22"/>
      <c r="D133" s="9"/>
      <c r="E133" s="8"/>
      <c r="F133" s="9"/>
      <c r="G133" s="22"/>
      <c r="H133" s="22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</row>
    <row r="134" ht="15.75" customHeight="1">
      <c r="A134" s="8"/>
      <c r="B134" s="22"/>
      <c r="C134" s="22"/>
      <c r="D134" s="9"/>
      <c r="E134" s="8"/>
      <c r="F134" s="9"/>
      <c r="G134" s="22"/>
      <c r="H134" s="22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</row>
    <row r="135" ht="15.75" customHeight="1">
      <c r="A135" s="8"/>
      <c r="B135" s="22"/>
      <c r="C135" s="22"/>
      <c r="D135" s="9"/>
      <c r="E135" s="8"/>
      <c r="F135" s="9"/>
      <c r="G135" s="22"/>
      <c r="H135" s="22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</row>
    <row r="136" ht="15.75" customHeight="1">
      <c r="A136" s="8"/>
      <c r="B136" s="22"/>
      <c r="C136" s="22"/>
      <c r="D136" s="9"/>
      <c r="E136" s="8"/>
      <c r="F136" s="9"/>
      <c r="G136" s="22"/>
      <c r="H136" s="22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</row>
    <row r="137" ht="15.75" customHeight="1">
      <c r="A137" s="8"/>
      <c r="B137" s="22"/>
      <c r="C137" s="22"/>
      <c r="D137" s="9"/>
      <c r="E137" s="8"/>
      <c r="F137" s="9"/>
      <c r="G137" s="22"/>
      <c r="H137" s="22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</row>
    <row r="138" ht="15.75" customHeight="1">
      <c r="A138" s="8"/>
      <c r="B138" s="22"/>
      <c r="C138" s="22"/>
      <c r="D138" s="9"/>
      <c r="E138" s="8"/>
      <c r="F138" s="9"/>
      <c r="G138" s="22"/>
      <c r="H138" s="22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</row>
    <row r="139" ht="15.75" customHeight="1">
      <c r="A139" s="8"/>
      <c r="B139" s="22"/>
      <c r="C139" s="22"/>
      <c r="D139" s="9"/>
      <c r="E139" s="8"/>
      <c r="F139" s="9"/>
      <c r="G139" s="22"/>
      <c r="H139" s="22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</row>
    <row r="140" ht="15.75" customHeight="1">
      <c r="A140" s="8"/>
      <c r="B140" s="22"/>
      <c r="C140" s="22"/>
      <c r="D140" s="9"/>
      <c r="E140" s="8"/>
      <c r="F140" s="9"/>
      <c r="G140" s="22"/>
      <c r="H140" s="22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</row>
    <row r="141" ht="15.75" customHeight="1">
      <c r="A141" s="8"/>
      <c r="B141" s="22"/>
      <c r="C141" s="22"/>
      <c r="D141" s="9"/>
      <c r="E141" s="8"/>
      <c r="F141" s="9"/>
      <c r="G141" s="22"/>
      <c r="H141" s="22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</row>
    <row r="142" ht="15.75" customHeight="1">
      <c r="A142" s="8"/>
      <c r="B142" s="22"/>
      <c r="C142" s="22"/>
      <c r="D142" s="9"/>
      <c r="E142" s="8"/>
      <c r="F142" s="9"/>
      <c r="G142" s="22"/>
      <c r="H142" s="22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</row>
    <row r="143" ht="15.75" customHeight="1">
      <c r="A143" s="8"/>
      <c r="B143" s="22"/>
      <c r="C143" s="22"/>
      <c r="D143" s="9"/>
      <c r="E143" s="8"/>
      <c r="F143" s="9"/>
      <c r="G143" s="22"/>
      <c r="H143" s="22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</row>
    <row r="144" ht="15.75" customHeight="1">
      <c r="A144" s="8"/>
      <c r="B144" s="22"/>
      <c r="C144" s="22"/>
      <c r="D144" s="9"/>
      <c r="E144" s="8"/>
      <c r="F144" s="9"/>
      <c r="G144" s="22"/>
      <c r="H144" s="22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</row>
    <row r="145" ht="15.75" customHeight="1">
      <c r="A145" s="8"/>
      <c r="B145" s="22"/>
      <c r="C145" s="22"/>
      <c r="D145" s="9"/>
      <c r="E145" s="8"/>
      <c r="F145" s="9"/>
      <c r="G145" s="22"/>
      <c r="H145" s="22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</row>
    <row r="146" ht="15.75" customHeight="1">
      <c r="A146" s="8"/>
      <c r="B146" s="22"/>
      <c r="C146" s="22"/>
      <c r="D146" s="9"/>
      <c r="E146" s="8"/>
      <c r="F146" s="9"/>
      <c r="G146" s="22"/>
      <c r="H146" s="22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</row>
    <row r="147" ht="15.75" customHeight="1">
      <c r="A147" s="8"/>
      <c r="B147" s="22"/>
      <c r="C147" s="22"/>
      <c r="D147" s="9"/>
      <c r="E147" s="8"/>
      <c r="F147" s="9"/>
      <c r="G147" s="22"/>
      <c r="H147" s="22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</row>
    <row r="148" ht="15.75" customHeight="1">
      <c r="A148" s="8"/>
      <c r="B148" s="22"/>
      <c r="C148" s="22"/>
      <c r="D148" s="9"/>
      <c r="E148" s="8"/>
      <c r="F148" s="9"/>
      <c r="G148" s="22"/>
      <c r="H148" s="22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</row>
    <row r="149" ht="15.75" customHeight="1">
      <c r="A149" s="8"/>
      <c r="B149" s="22"/>
      <c r="C149" s="22"/>
      <c r="D149" s="9"/>
      <c r="E149" s="8"/>
      <c r="F149" s="9"/>
      <c r="G149" s="22"/>
      <c r="H149" s="22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</row>
    <row r="150" ht="15.75" customHeight="1">
      <c r="A150" s="8"/>
      <c r="B150" s="22"/>
      <c r="C150" s="22"/>
      <c r="D150" s="9"/>
      <c r="E150" s="8"/>
      <c r="F150" s="9"/>
      <c r="G150" s="22"/>
      <c r="H150" s="22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</row>
    <row r="151" ht="15.75" customHeight="1">
      <c r="A151" s="8"/>
      <c r="B151" s="22"/>
      <c r="C151" s="22"/>
      <c r="D151" s="9"/>
      <c r="E151" s="8"/>
      <c r="F151" s="9"/>
      <c r="G151" s="22"/>
      <c r="H151" s="22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</row>
    <row r="152" ht="15.75" customHeight="1">
      <c r="A152" s="8"/>
      <c r="B152" s="22"/>
      <c r="C152" s="22"/>
      <c r="D152" s="9"/>
      <c r="E152" s="8"/>
      <c r="F152" s="9"/>
      <c r="G152" s="22"/>
      <c r="H152" s="22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</row>
    <row r="153" ht="15.75" customHeight="1">
      <c r="A153" s="8"/>
      <c r="B153" s="22"/>
      <c r="C153" s="22"/>
      <c r="D153" s="9"/>
      <c r="E153" s="8"/>
      <c r="F153" s="9"/>
      <c r="G153" s="22"/>
      <c r="H153" s="22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</row>
    <row r="154" ht="15.75" customHeight="1">
      <c r="A154" s="8"/>
      <c r="B154" s="22"/>
      <c r="C154" s="22"/>
      <c r="D154" s="9"/>
      <c r="E154" s="8"/>
      <c r="F154" s="9"/>
      <c r="G154" s="22"/>
      <c r="H154" s="22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</row>
    <row r="155" ht="15.75" customHeight="1">
      <c r="A155" s="8"/>
      <c r="B155" s="22"/>
      <c r="C155" s="22"/>
      <c r="D155" s="9"/>
      <c r="E155" s="8"/>
      <c r="F155" s="9"/>
      <c r="G155" s="22"/>
      <c r="H155" s="22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</row>
    <row r="156" ht="15.75" customHeight="1">
      <c r="A156" s="8"/>
      <c r="B156" s="22"/>
      <c r="C156" s="22"/>
      <c r="D156" s="9"/>
      <c r="E156" s="8"/>
      <c r="F156" s="9"/>
      <c r="G156" s="22"/>
      <c r="H156" s="22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</row>
    <row r="157" ht="15.75" customHeight="1">
      <c r="A157" s="8"/>
      <c r="B157" s="22"/>
      <c r="C157" s="22"/>
      <c r="D157" s="9"/>
      <c r="E157" s="8"/>
      <c r="F157" s="9"/>
      <c r="G157" s="22"/>
      <c r="H157" s="22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</row>
    <row r="158" ht="15.75" customHeight="1">
      <c r="A158" s="8"/>
      <c r="B158" s="22"/>
      <c r="C158" s="22"/>
      <c r="D158" s="9"/>
      <c r="E158" s="8"/>
      <c r="F158" s="9"/>
      <c r="G158" s="22"/>
      <c r="H158" s="22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</row>
    <row r="159" ht="15.75" customHeight="1">
      <c r="A159" s="8"/>
      <c r="B159" s="22"/>
      <c r="C159" s="22"/>
      <c r="D159" s="9"/>
      <c r="E159" s="8"/>
      <c r="F159" s="9"/>
      <c r="G159" s="22"/>
      <c r="H159" s="22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</row>
    <row r="160" ht="15.75" customHeight="1">
      <c r="A160" s="8"/>
      <c r="B160" s="22"/>
      <c r="C160" s="22"/>
      <c r="D160" s="9"/>
      <c r="E160" s="8"/>
      <c r="F160" s="9"/>
      <c r="G160" s="22"/>
      <c r="H160" s="22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</row>
    <row r="161" ht="15.75" customHeight="1">
      <c r="A161" s="8"/>
      <c r="B161" s="22"/>
      <c r="C161" s="22"/>
      <c r="D161" s="9"/>
      <c r="E161" s="8"/>
      <c r="F161" s="9"/>
      <c r="G161" s="22"/>
      <c r="H161" s="22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</row>
    <row r="162" ht="15.75" customHeight="1">
      <c r="A162" s="8"/>
      <c r="B162" s="22"/>
      <c r="C162" s="22"/>
      <c r="D162" s="9"/>
      <c r="E162" s="8"/>
      <c r="F162" s="9"/>
      <c r="G162" s="22"/>
      <c r="H162" s="22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</row>
    <row r="163" ht="15.75" customHeight="1">
      <c r="A163" s="8"/>
      <c r="B163" s="22"/>
      <c r="C163" s="22"/>
      <c r="D163" s="9"/>
      <c r="E163" s="8"/>
      <c r="F163" s="9"/>
      <c r="G163" s="22"/>
      <c r="H163" s="22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</row>
    <row r="164" ht="15.75" customHeight="1">
      <c r="A164" s="8"/>
      <c r="B164" s="22"/>
      <c r="C164" s="22"/>
      <c r="D164" s="9"/>
      <c r="E164" s="8"/>
      <c r="F164" s="9"/>
      <c r="G164" s="22"/>
      <c r="H164" s="22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</row>
    <row r="165" ht="15.75" customHeight="1">
      <c r="A165" s="8"/>
      <c r="B165" s="22"/>
      <c r="C165" s="22"/>
      <c r="D165" s="9"/>
      <c r="E165" s="8"/>
      <c r="F165" s="9"/>
      <c r="G165" s="22"/>
      <c r="H165" s="22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</row>
    <row r="166" ht="15.75" customHeight="1">
      <c r="A166" s="8"/>
      <c r="B166" s="22"/>
      <c r="C166" s="22"/>
      <c r="D166" s="9"/>
      <c r="E166" s="8"/>
      <c r="F166" s="9"/>
      <c r="G166" s="22"/>
      <c r="H166" s="22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</row>
    <row r="167" ht="15.75" customHeight="1">
      <c r="A167" s="8"/>
      <c r="B167" s="22"/>
      <c r="C167" s="22"/>
      <c r="D167" s="9"/>
      <c r="E167" s="8"/>
      <c r="F167" s="9"/>
      <c r="G167" s="22"/>
      <c r="H167" s="22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</row>
    <row r="168" ht="15.75" customHeight="1">
      <c r="A168" s="8"/>
      <c r="B168" s="22"/>
      <c r="C168" s="22"/>
      <c r="D168" s="9"/>
      <c r="E168" s="8"/>
      <c r="F168" s="9"/>
      <c r="G168" s="22"/>
      <c r="H168" s="22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</row>
    <row r="169" ht="15.75" customHeight="1">
      <c r="A169" s="8"/>
      <c r="B169" s="22"/>
      <c r="C169" s="22"/>
      <c r="D169" s="9"/>
      <c r="E169" s="8"/>
      <c r="F169" s="9"/>
      <c r="G169" s="22"/>
      <c r="H169" s="22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</row>
    <row r="170" ht="15.75" customHeight="1">
      <c r="A170" s="8"/>
      <c r="B170" s="22"/>
      <c r="C170" s="22"/>
      <c r="D170" s="9"/>
      <c r="E170" s="8"/>
      <c r="F170" s="9"/>
      <c r="G170" s="22"/>
      <c r="H170" s="22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</row>
    <row r="171" ht="15.75" customHeight="1">
      <c r="A171" s="8"/>
      <c r="B171" s="22"/>
      <c r="C171" s="22"/>
      <c r="D171" s="9"/>
      <c r="E171" s="8"/>
      <c r="F171" s="9"/>
      <c r="G171" s="22"/>
      <c r="H171" s="22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</row>
    <row r="172" ht="15.75" customHeight="1">
      <c r="A172" s="8"/>
      <c r="B172" s="22"/>
      <c r="C172" s="22"/>
      <c r="D172" s="9"/>
      <c r="E172" s="8"/>
      <c r="F172" s="9"/>
      <c r="G172" s="22"/>
      <c r="H172" s="22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</row>
    <row r="173" ht="15.75" customHeight="1">
      <c r="A173" s="8"/>
      <c r="B173" s="22"/>
      <c r="C173" s="22"/>
      <c r="D173" s="9"/>
      <c r="E173" s="8"/>
      <c r="F173" s="9"/>
      <c r="G173" s="22"/>
      <c r="H173" s="22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</row>
    <row r="174" ht="15.75" customHeight="1">
      <c r="A174" s="8"/>
      <c r="B174" s="22"/>
      <c r="C174" s="22"/>
      <c r="D174" s="9"/>
      <c r="E174" s="8"/>
      <c r="F174" s="9"/>
      <c r="G174" s="22"/>
      <c r="H174" s="22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</row>
    <row r="175" ht="15.75" customHeight="1">
      <c r="A175" s="8"/>
      <c r="B175" s="22"/>
      <c r="C175" s="22"/>
      <c r="D175" s="9"/>
      <c r="E175" s="8"/>
      <c r="F175" s="9"/>
      <c r="G175" s="22"/>
      <c r="H175" s="22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</row>
    <row r="176" ht="15.75" customHeight="1">
      <c r="A176" s="8"/>
      <c r="B176" s="22"/>
      <c r="C176" s="22"/>
      <c r="D176" s="9"/>
      <c r="E176" s="8"/>
      <c r="F176" s="9"/>
      <c r="G176" s="22"/>
      <c r="H176" s="22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</row>
    <row r="177" ht="15.75" customHeight="1">
      <c r="A177" s="8"/>
      <c r="B177" s="22"/>
      <c r="C177" s="22"/>
      <c r="D177" s="9"/>
      <c r="E177" s="8"/>
      <c r="F177" s="9"/>
      <c r="G177" s="22"/>
      <c r="H177" s="22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</row>
    <row r="178" ht="15.75" customHeight="1">
      <c r="A178" s="8"/>
      <c r="B178" s="22"/>
      <c r="C178" s="22"/>
      <c r="D178" s="9"/>
      <c r="E178" s="8"/>
      <c r="F178" s="9"/>
      <c r="G178" s="22"/>
      <c r="H178" s="22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</row>
    <row r="179" ht="15.75" customHeight="1">
      <c r="A179" s="8"/>
      <c r="B179" s="22"/>
      <c r="C179" s="22"/>
      <c r="D179" s="9"/>
      <c r="E179" s="8"/>
      <c r="F179" s="9"/>
      <c r="G179" s="22"/>
      <c r="H179" s="22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</row>
    <row r="180" ht="15.75" customHeight="1">
      <c r="A180" s="8"/>
      <c r="B180" s="22"/>
      <c r="C180" s="22"/>
      <c r="D180" s="9"/>
      <c r="E180" s="8"/>
      <c r="F180" s="9"/>
      <c r="G180" s="22"/>
      <c r="H180" s="22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</row>
    <row r="181" ht="15.75" customHeight="1">
      <c r="A181" s="8"/>
      <c r="B181" s="22"/>
      <c r="C181" s="22"/>
      <c r="D181" s="9"/>
      <c r="E181" s="8"/>
      <c r="F181" s="9"/>
      <c r="G181" s="22"/>
      <c r="H181" s="22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</row>
    <row r="182" ht="15.75" customHeight="1">
      <c r="A182" s="8"/>
      <c r="B182" s="22"/>
      <c r="C182" s="22"/>
      <c r="D182" s="9"/>
      <c r="E182" s="8"/>
      <c r="F182" s="9"/>
      <c r="G182" s="22"/>
      <c r="H182" s="22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</row>
    <row r="183" ht="15.75" customHeight="1">
      <c r="A183" s="8"/>
      <c r="B183" s="22"/>
      <c r="C183" s="22"/>
      <c r="D183" s="9"/>
      <c r="E183" s="8"/>
      <c r="F183" s="9"/>
      <c r="G183" s="22"/>
      <c r="H183" s="22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</row>
    <row r="184" ht="15.75" customHeight="1">
      <c r="A184" s="8"/>
      <c r="B184" s="22"/>
      <c r="C184" s="22"/>
      <c r="D184" s="9"/>
      <c r="E184" s="8"/>
      <c r="F184" s="9"/>
      <c r="G184" s="22"/>
      <c r="H184" s="22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</row>
    <row r="185" ht="15.75" customHeight="1">
      <c r="A185" s="8"/>
      <c r="B185" s="22"/>
      <c r="C185" s="22"/>
      <c r="D185" s="9"/>
      <c r="E185" s="8"/>
      <c r="F185" s="9"/>
      <c r="G185" s="22"/>
      <c r="H185" s="22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</row>
    <row r="186" ht="15.75" customHeight="1">
      <c r="A186" s="8"/>
      <c r="B186" s="22"/>
      <c r="C186" s="22"/>
      <c r="D186" s="9"/>
      <c r="E186" s="8"/>
      <c r="F186" s="9"/>
      <c r="G186" s="22"/>
      <c r="H186" s="22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</row>
    <row r="187" ht="15.75" customHeight="1">
      <c r="A187" s="8"/>
      <c r="B187" s="22"/>
      <c r="C187" s="22"/>
      <c r="D187" s="9"/>
      <c r="E187" s="8"/>
      <c r="F187" s="9"/>
      <c r="G187" s="22"/>
      <c r="H187" s="22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</row>
    <row r="188" ht="15.75" customHeight="1">
      <c r="A188" s="8"/>
      <c r="B188" s="22"/>
      <c r="C188" s="22"/>
      <c r="D188" s="9"/>
      <c r="E188" s="8"/>
      <c r="F188" s="9"/>
      <c r="G188" s="22"/>
      <c r="H188" s="22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</row>
    <row r="189" ht="15.75" customHeight="1">
      <c r="A189" s="8"/>
      <c r="B189" s="22"/>
      <c r="C189" s="22"/>
      <c r="D189" s="9"/>
      <c r="E189" s="8"/>
      <c r="F189" s="9"/>
      <c r="G189" s="22"/>
      <c r="H189" s="22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</row>
    <row r="190" ht="15.75" customHeight="1">
      <c r="A190" s="8"/>
      <c r="B190" s="22"/>
      <c r="C190" s="22"/>
      <c r="D190" s="9"/>
      <c r="E190" s="8"/>
      <c r="F190" s="9"/>
      <c r="G190" s="22"/>
      <c r="H190" s="22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</row>
    <row r="191" ht="15.75" customHeight="1">
      <c r="A191" s="8"/>
      <c r="B191" s="22"/>
      <c r="C191" s="22"/>
      <c r="D191" s="9"/>
      <c r="E191" s="8"/>
      <c r="F191" s="9"/>
      <c r="G191" s="22"/>
      <c r="H191" s="22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</row>
    <row r="192" ht="15.75" customHeight="1">
      <c r="A192" s="8"/>
      <c r="B192" s="22"/>
      <c r="C192" s="22"/>
      <c r="D192" s="9"/>
      <c r="E192" s="8"/>
      <c r="F192" s="9"/>
      <c r="G192" s="22"/>
      <c r="H192" s="22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</row>
    <row r="193" ht="15.75" customHeight="1">
      <c r="A193" s="8"/>
      <c r="B193" s="22"/>
      <c r="C193" s="22"/>
      <c r="D193" s="9"/>
      <c r="E193" s="8"/>
      <c r="F193" s="9"/>
      <c r="G193" s="22"/>
      <c r="H193" s="22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</row>
    <row r="194" ht="15.75" customHeight="1">
      <c r="A194" s="8"/>
      <c r="B194" s="22"/>
      <c r="C194" s="22"/>
      <c r="D194" s="9"/>
      <c r="E194" s="8"/>
      <c r="F194" s="9"/>
      <c r="G194" s="22"/>
      <c r="H194" s="22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</row>
    <row r="195" ht="15.75" customHeight="1">
      <c r="A195" s="8"/>
      <c r="B195" s="22"/>
      <c r="C195" s="22"/>
      <c r="D195" s="9"/>
      <c r="E195" s="8"/>
      <c r="F195" s="9"/>
      <c r="G195" s="22"/>
      <c r="H195" s="22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</row>
    <row r="196" ht="15.75" customHeight="1">
      <c r="A196" s="8"/>
      <c r="B196" s="22"/>
      <c r="C196" s="22"/>
      <c r="D196" s="9"/>
      <c r="E196" s="8"/>
      <c r="F196" s="9"/>
      <c r="G196" s="22"/>
      <c r="H196" s="22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</row>
    <row r="197" ht="15.75" customHeight="1">
      <c r="A197" s="8"/>
      <c r="B197" s="22"/>
      <c r="C197" s="22"/>
      <c r="D197" s="9"/>
      <c r="E197" s="8"/>
      <c r="F197" s="9"/>
      <c r="G197" s="22"/>
      <c r="H197" s="22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</row>
    <row r="198" ht="15.75" customHeight="1">
      <c r="A198" s="8"/>
      <c r="B198" s="22"/>
      <c r="C198" s="22"/>
      <c r="D198" s="9"/>
      <c r="E198" s="8"/>
      <c r="F198" s="9"/>
      <c r="G198" s="22"/>
      <c r="H198" s="22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</row>
    <row r="199" ht="15.75" customHeight="1">
      <c r="A199" s="8"/>
      <c r="B199" s="22"/>
      <c r="C199" s="22"/>
      <c r="D199" s="9"/>
      <c r="E199" s="8"/>
      <c r="F199" s="9"/>
      <c r="G199" s="22"/>
      <c r="H199" s="22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</row>
    <row r="200" ht="15.75" customHeight="1">
      <c r="A200" s="8"/>
      <c r="B200" s="22"/>
      <c r="C200" s="22"/>
      <c r="D200" s="9"/>
      <c r="E200" s="8"/>
      <c r="F200" s="9"/>
      <c r="G200" s="22"/>
      <c r="H200" s="22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</row>
    <row r="201" ht="15.75" customHeight="1">
      <c r="A201" s="8"/>
      <c r="B201" s="22"/>
      <c r="C201" s="22"/>
      <c r="D201" s="9"/>
      <c r="E201" s="8"/>
      <c r="F201" s="9"/>
      <c r="G201" s="22"/>
      <c r="H201" s="22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</row>
    <row r="202" ht="15.75" customHeight="1">
      <c r="A202" s="8"/>
      <c r="B202" s="22"/>
      <c r="C202" s="22"/>
      <c r="D202" s="9"/>
      <c r="E202" s="8"/>
      <c r="F202" s="9"/>
      <c r="G202" s="22"/>
      <c r="H202" s="22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</row>
    <row r="203" ht="15.75" customHeight="1">
      <c r="A203" s="8"/>
      <c r="B203" s="22"/>
      <c r="C203" s="22"/>
      <c r="D203" s="9"/>
      <c r="E203" s="8"/>
      <c r="F203" s="9"/>
      <c r="G203" s="22"/>
      <c r="H203" s="22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</row>
    <row r="204" ht="15.75" customHeight="1">
      <c r="A204" s="8"/>
      <c r="B204" s="22"/>
      <c r="C204" s="22"/>
      <c r="D204" s="9"/>
      <c r="E204" s="8"/>
      <c r="F204" s="9"/>
      <c r="G204" s="22"/>
      <c r="H204" s="22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</row>
    <row r="205" ht="15.75" customHeight="1">
      <c r="A205" s="8"/>
      <c r="B205" s="22"/>
      <c r="C205" s="22"/>
      <c r="D205" s="9"/>
      <c r="E205" s="8"/>
      <c r="F205" s="9"/>
      <c r="G205" s="22"/>
      <c r="H205" s="22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</row>
    <row r="206" ht="15.75" customHeight="1">
      <c r="A206" s="8"/>
      <c r="B206" s="22"/>
      <c r="C206" s="22"/>
      <c r="D206" s="9"/>
      <c r="E206" s="8"/>
      <c r="F206" s="9"/>
      <c r="G206" s="22"/>
      <c r="H206" s="22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</row>
    <row r="207" ht="15.75" customHeight="1">
      <c r="A207" s="8"/>
      <c r="B207" s="22"/>
      <c r="C207" s="22"/>
      <c r="D207" s="9"/>
      <c r="E207" s="8"/>
      <c r="F207" s="9"/>
      <c r="G207" s="22"/>
      <c r="H207" s="22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</row>
    <row r="208" ht="15.75" customHeight="1">
      <c r="A208" s="8"/>
      <c r="B208" s="22"/>
      <c r="C208" s="22"/>
      <c r="D208" s="9"/>
      <c r="E208" s="8"/>
      <c r="F208" s="9"/>
      <c r="G208" s="22"/>
      <c r="H208" s="22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</row>
    <row r="209" ht="15.75" customHeight="1">
      <c r="A209" s="8"/>
      <c r="B209" s="22"/>
      <c r="C209" s="22"/>
      <c r="D209" s="9"/>
      <c r="E209" s="8"/>
      <c r="F209" s="9"/>
      <c r="G209" s="22"/>
      <c r="H209" s="22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</row>
    <row r="210" ht="15.75" customHeight="1">
      <c r="A210" s="8"/>
      <c r="B210" s="22"/>
      <c r="C210" s="22"/>
      <c r="D210" s="9"/>
      <c r="E210" s="8"/>
      <c r="F210" s="9"/>
      <c r="G210" s="22"/>
      <c r="H210" s="22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</row>
    <row r="211" ht="15.75" customHeight="1">
      <c r="A211" s="8"/>
      <c r="B211" s="22"/>
      <c r="C211" s="22"/>
      <c r="D211" s="9"/>
      <c r="E211" s="8"/>
      <c r="F211" s="9"/>
      <c r="G211" s="22"/>
      <c r="H211" s="22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</row>
    <row r="212" ht="15.75" customHeight="1">
      <c r="A212" s="8"/>
      <c r="B212" s="22"/>
      <c r="C212" s="22"/>
      <c r="D212" s="9"/>
      <c r="E212" s="8"/>
      <c r="F212" s="9"/>
      <c r="G212" s="22"/>
      <c r="H212" s="22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</row>
    <row r="213" ht="15.75" customHeight="1">
      <c r="A213" s="8"/>
      <c r="B213" s="22"/>
      <c r="C213" s="22"/>
      <c r="D213" s="9"/>
      <c r="E213" s="8"/>
      <c r="F213" s="9"/>
      <c r="G213" s="22"/>
      <c r="H213" s="22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</row>
    <row r="214" ht="15.75" customHeight="1">
      <c r="A214" s="8"/>
      <c r="B214" s="22"/>
      <c r="C214" s="22"/>
      <c r="D214" s="9"/>
      <c r="E214" s="8"/>
      <c r="F214" s="9"/>
      <c r="G214" s="22"/>
      <c r="H214" s="22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</row>
    <row r="215" ht="15.75" customHeight="1">
      <c r="A215" s="8"/>
      <c r="B215" s="22"/>
      <c r="C215" s="22"/>
      <c r="D215" s="9"/>
      <c r="E215" s="8"/>
      <c r="F215" s="9"/>
      <c r="G215" s="22"/>
      <c r="H215" s="22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</row>
    <row r="216" ht="15.75" customHeight="1">
      <c r="A216" s="8"/>
      <c r="B216" s="22"/>
      <c r="C216" s="22"/>
      <c r="D216" s="9"/>
      <c r="E216" s="8"/>
      <c r="F216" s="9"/>
      <c r="G216" s="22"/>
      <c r="H216" s="22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</row>
    <row r="217" ht="15.75" customHeight="1">
      <c r="A217" s="8"/>
      <c r="B217" s="22"/>
      <c r="C217" s="22"/>
      <c r="D217" s="9"/>
      <c r="E217" s="8"/>
      <c r="F217" s="9"/>
      <c r="G217" s="22"/>
      <c r="H217" s="22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</row>
    <row r="218" ht="15.75" customHeight="1">
      <c r="A218" s="8"/>
      <c r="B218" s="22"/>
      <c r="C218" s="22"/>
      <c r="D218" s="9"/>
      <c r="E218" s="8"/>
      <c r="F218" s="9"/>
      <c r="G218" s="22"/>
      <c r="H218" s="22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</row>
    <row r="219" ht="15.75" customHeight="1">
      <c r="A219" s="8"/>
      <c r="B219" s="22"/>
      <c r="C219" s="22"/>
      <c r="D219" s="9"/>
      <c r="E219" s="8"/>
      <c r="F219" s="9"/>
      <c r="G219" s="22"/>
      <c r="H219" s="22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</row>
    <row r="220" ht="15.75" customHeight="1">
      <c r="A220" s="8"/>
      <c r="B220" s="22"/>
      <c r="C220" s="22"/>
      <c r="D220" s="9"/>
      <c r="E220" s="8"/>
      <c r="F220" s="9"/>
      <c r="G220" s="22"/>
      <c r="H220" s="22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</row>
    <row r="221" ht="15.75" customHeight="1">
      <c r="A221" s="8"/>
      <c r="B221" s="22"/>
      <c r="C221" s="22"/>
      <c r="D221" s="9"/>
      <c r="E221" s="8"/>
      <c r="F221" s="9"/>
      <c r="G221" s="22"/>
      <c r="H221" s="22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</row>
    <row r="222" ht="15.75" customHeight="1">
      <c r="A222" s="8"/>
      <c r="B222" s="22"/>
      <c r="C222" s="22"/>
      <c r="D222" s="9"/>
      <c r="E222" s="8"/>
      <c r="F222" s="9"/>
      <c r="G222" s="22"/>
      <c r="H222" s="22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</row>
    <row r="223" ht="15.75" customHeight="1">
      <c r="A223" s="8"/>
      <c r="B223" s="22"/>
      <c r="C223" s="22"/>
      <c r="D223" s="9"/>
      <c r="E223" s="8"/>
      <c r="F223" s="9"/>
      <c r="G223" s="22"/>
      <c r="H223" s="22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</row>
    <row r="224" ht="15.75" customHeight="1">
      <c r="A224" s="8"/>
      <c r="B224" s="22"/>
      <c r="C224" s="22"/>
      <c r="D224" s="9"/>
      <c r="E224" s="8"/>
      <c r="F224" s="9"/>
      <c r="G224" s="22"/>
      <c r="H224" s="22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</row>
    <row r="225" ht="15.75" customHeight="1">
      <c r="A225" s="8"/>
      <c r="B225" s="22"/>
      <c r="C225" s="22"/>
      <c r="D225" s="9"/>
      <c r="E225" s="8"/>
      <c r="F225" s="9"/>
      <c r="G225" s="22"/>
      <c r="H225" s="22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</row>
    <row r="226" ht="15.75" customHeight="1">
      <c r="A226" s="8"/>
      <c r="B226" s="22"/>
      <c r="C226" s="22"/>
      <c r="D226" s="9"/>
      <c r="E226" s="8"/>
      <c r="F226" s="9"/>
      <c r="G226" s="22"/>
      <c r="H226" s="22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</row>
    <row r="227" ht="15.75" customHeight="1">
      <c r="A227" s="8"/>
      <c r="B227" s="22"/>
      <c r="C227" s="22"/>
      <c r="D227" s="9"/>
      <c r="E227" s="8"/>
      <c r="F227" s="9"/>
      <c r="G227" s="22"/>
      <c r="H227" s="22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</row>
    <row r="228" ht="15.75" customHeight="1">
      <c r="A228" s="8"/>
      <c r="B228" s="22"/>
      <c r="C228" s="22"/>
      <c r="D228" s="9"/>
      <c r="E228" s="8"/>
      <c r="F228" s="9"/>
      <c r="G228" s="22"/>
      <c r="H228" s="22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</row>
    <row r="229" ht="15.75" customHeight="1">
      <c r="A229" s="8"/>
      <c r="B229" s="22"/>
      <c r="C229" s="22"/>
      <c r="D229" s="9"/>
      <c r="E229" s="8"/>
      <c r="F229" s="9"/>
      <c r="G229" s="22"/>
      <c r="H229" s="22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</row>
    <row r="230" ht="15.75" customHeight="1">
      <c r="A230" s="8"/>
      <c r="B230" s="22"/>
      <c r="C230" s="22"/>
      <c r="D230" s="9"/>
      <c r="E230" s="8"/>
      <c r="F230" s="9"/>
      <c r="G230" s="22"/>
      <c r="H230" s="22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</row>
    <row r="231" ht="15.75" customHeight="1">
      <c r="A231" s="8"/>
      <c r="B231" s="22"/>
      <c r="C231" s="22"/>
      <c r="D231" s="9"/>
      <c r="E231" s="8"/>
      <c r="F231" s="9"/>
      <c r="G231" s="22"/>
      <c r="H231" s="22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</row>
    <row r="232" ht="15.75" customHeight="1">
      <c r="A232" s="8"/>
      <c r="B232" s="22"/>
      <c r="C232" s="22"/>
      <c r="D232" s="9"/>
      <c r="E232" s="8"/>
      <c r="F232" s="9"/>
      <c r="G232" s="22"/>
      <c r="H232" s="22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</row>
    <row r="233" ht="15.75" customHeight="1">
      <c r="A233" s="8"/>
      <c r="B233" s="22"/>
      <c r="C233" s="22"/>
      <c r="D233" s="9"/>
      <c r="E233" s="8"/>
      <c r="F233" s="9"/>
      <c r="G233" s="22"/>
      <c r="H233" s="22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</row>
    <row r="234" ht="15.75" customHeight="1">
      <c r="A234" s="8"/>
      <c r="B234" s="22"/>
      <c r="C234" s="22"/>
      <c r="D234" s="9"/>
      <c r="E234" s="8"/>
      <c r="F234" s="9"/>
      <c r="G234" s="22"/>
      <c r="H234" s="22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</row>
    <row r="235" ht="15.75" customHeight="1">
      <c r="A235" s="8"/>
      <c r="B235" s="22"/>
      <c r="C235" s="22"/>
      <c r="D235" s="9"/>
      <c r="E235" s="8"/>
      <c r="F235" s="9"/>
      <c r="G235" s="22"/>
      <c r="H235" s="22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</row>
    <row r="236" ht="15.75" customHeight="1">
      <c r="A236" s="8"/>
      <c r="B236" s="22"/>
      <c r="C236" s="22"/>
      <c r="D236" s="9"/>
      <c r="E236" s="8"/>
      <c r="F236" s="9"/>
      <c r="G236" s="22"/>
      <c r="H236" s="22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</row>
    <row r="237" ht="15.75" customHeight="1">
      <c r="A237" s="8"/>
      <c r="B237" s="22"/>
      <c r="C237" s="22"/>
      <c r="D237" s="9"/>
      <c r="E237" s="8"/>
      <c r="F237" s="9"/>
      <c r="G237" s="22"/>
      <c r="H237" s="22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</row>
    <row r="238" ht="15.75" customHeight="1">
      <c r="A238" s="8"/>
      <c r="B238" s="22"/>
      <c r="C238" s="22"/>
      <c r="D238" s="9"/>
      <c r="E238" s="8"/>
      <c r="F238" s="9"/>
      <c r="G238" s="22"/>
      <c r="H238" s="22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</row>
    <row r="239" ht="15.75" customHeight="1">
      <c r="A239" s="8"/>
      <c r="B239" s="22"/>
      <c r="C239" s="22"/>
      <c r="D239" s="9"/>
      <c r="E239" s="8"/>
      <c r="F239" s="9"/>
      <c r="G239" s="22"/>
      <c r="H239" s="22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</row>
    <row r="240" ht="15.75" customHeight="1">
      <c r="A240" s="8"/>
      <c r="B240" s="8"/>
      <c r="C240" s="8"/>
      <c r="D240" s="9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</row>
    <row r="241" ht="15.75" customHeight="1">
      <c r="A241" s="8"/>
      <c r="B241" s="8"/>
      <c r="C241" s="8"/>
      <c r="D241" s="9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</row>
    <row r="242" ht="15.75" customHeight="1">
      <c r="A242" s="8"/>
      <c r="B242" s="8"/>
      <c r="C242" s="8"/>
      <c r="D242" s="9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</row>
    <row r="243" ht="15.75" customHeight="1">
      <c r="A243" s="8"/>
      <c r="B243" s="8"/>
      <c r="C243" s="8"/>
      <c r="D243" s="9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</row>
    <row r="244" ht="15.75" customHeight="1">
      <c r="A244" s="8"/>
      <c r="B244" s="8"/>
      <c r="C244" s="8"/>
      <c r="D244" s="9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</row>
    <row r="245" ht="15.75" customHeight="1">
      <c r="A245" s="8"/>
      <c r="B245" s="8"/>
      <c r="C245" s="8"/>
      <c r="D245" s="9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</row>
    <row r="246" ht="15.75" customHeight="1">
      <c r="A246" s="8"/>
      <c r="B246" s="8"/>
      <c r="C246" s="8"/>
      <c r="D246" s="9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</row>
    <row r="247" ht="15.75" customHeight="1">
      <c r="A247" s="8"/>
      <c r="B247" s="8"/>
      <c r="C247" s="8"/>
      <c r="D247" s="9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</row>
    <row r="248" ht="15.75" customHeight="1">
      <c r="A248" s="8"/>
      <c r="B248" s="8"/>
      <c r="C248" s="8"/>
      <c r="D248" s="9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</row>
    <row r="249" ht="15.75" customHeight="1">
      <c r="A249" s="8"/>
      <c r="B249" s="8"/>
      <c r="C249" s="8"/>
      <c r="D249" s="9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</row>
    <row r="250" ht="15.75" customHeight="1">
      <c r="A250" s="8"/>
      <c r="B250" s="8"/>
      <c r="C250" s="8"/>
      <c r="D250" s="9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</row>
    <row r="251" ht="15.75" customHeight="1">
      <c r="A251" s="8"/>
      <c r="B251" s="8"/>
      <c r="C251" s="8"/>
      <c r="D251" s="9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</row>
    <row r="252" ht="15.75" customHeight="1">
      <c r="A252" s="8"/>
      <c r="B252" s="8"/>
      <c r="C252" s="8"/>
      <c r="D252" s="9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</row>
    <row r="253" ht="15.75" customHeight="1">
      <c r="A253" s="8"/>
      <c r="B253" s="8"/>
      <c r="C253" s="8"/>
      <c r="D253" s="9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</row>
    <row r="254" ht="15.75" customHeight="1">
      <c r="A254" s="8"/>
      <c r="B254" s="8"/>
      <c r="C254" s="8"/>
      <c r="D254" s="9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</row>
    <row r="255" ht="15.75" customHeight="1">
      <c r="A255" s="8"/>
      <c r="B255" s="8"/>
      <c r="C255" s="8"/>
      <c r="D255" s="9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</row>
    <row r="256" ht="15.75" customHeight="1">
      <c r="A256" s="8"/>
      <c r="B256" s="8"/>
      <c r="C256" s="8"/>
      <c r="D256" s="9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</row>
    <row r="257" ht="15.75" customHeight="1">
      <c r="A257" s="8"/>
      <c r="B257" s="8"/>
      <c r="C257" s="8"/>
      <c r="D257" s="9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</row>
    <row r="258" ht="15.75" customHeight="1">
      <c r="A258" s="8"/>
      <c r="B258" s="8"/>
      <c r="C258" s="8"/>
      <c r="D258" s="9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</row>
    <row r="259" ht="15.75" customHeight="1">
      <c r="A259" s="8"/>
      <c r="B259" s="8"/>
      <c r="C259" s="8"/>
      <c r="D259" s="9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</row>
    <row r="260" ht="15.75" customHeight="1">
      <c r="A260" s="8"/>
      <c r="B260" s="8"/>
      <c r="C260" s="8"/>
      <c r="D260" s="9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</row>
    <row r="261" ht="15.75" customHeight="1">
      <c r="A261" s="8"/>
      <c r="B261" s="8"/>
      <c r="C261" s="8"/>
      <c r="D261" s="9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</row>
    <row r="262" ht="15.75" customHeight="1">
      <c r="A262" s="8"/>
      <c r="B262" s="8"/>
      <c r="C262" s="8"/>
      <c r="D262" s="9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</row>
    <row r="263" ht="15.75" customHeight="1">
      <c r="A263" s="8"/>
      <c r="B263" s="8"/>
      <c r="C263" s="8"/>
      <c r="D263" s="9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</row>
    <row r="264" ht="15.75" customHeight="1">
      <c r="A264" s="8"/>
      <c r="B264" s="8"/>
      <c r="C264" s="8"/>
      <c r="D264" s="9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</row>
    <row r="265" ht="15.75" customHeight="1">
      <c r="A265" s="8"/>
      <c r="B265" s="8"/>
      <c r="C265" s="8"/>
      <c r="D265" s="9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</row>
    <row r="266" ht="15.75" customHeight="1">
      <c r="A266" s="8"/>
      <c r="B266" s="8"/>
      <c r="C266" s="8"/>
      <c r="D266" s="9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</row>
    <row r="267" ht="15.75" customHeight="1">
      <c r="A267" s="8"/>
      <c r="B267" s="8"/>
      <c r="C267" s="8"/>
      <c r="D267" s="9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</row>
    <row r="268" ht="15.75" customHeight="1">
      <c r="A268" s="8"/>
      <c r="B268" s="8"/>
      <c r="C268" s="8"/>
      <c r="D268" s="9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</row>
    <row r="269" ht="15.75" customHeight="1">
      <c r="A269" s="8"/>
      <c r="B269" s="8"/>
      <c r="C269" s="8"/>
      <c r="D269" s="9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</row>
    <row r="270" ht="15.75" customHeight="1">
      <c r="A270" s="8"/>
      <c r="B270" s="8"/>
      <c r="C270" s="8"/>
      <c r="D270" s="9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</row>
    <row r="271" ht="15.75" customHeight="1">
      <c r="A271" s="8"/>
      <c r="B271" s="8"/>
      <c r="C271" s="8"/>
      <c r="D271" s="9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</row>
    <row r="272" ht="15.75" customHeight="1">
      <c r="A272" s="8"/>
      <c r="B272" s="8"/>
      <c r="C272" s="8"/>
      <c r="D272" s="9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</row>
    <row r="273" ht="15.75" customHeight="1">
      <c r="A273" s="8"/>
      <c r="B273" s="8"/>
      <c r="C273" s="8"/>
      <c r="D273" s="9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</row>
    <row r="274" ht="15.75" customHeight="1">
      <c r="A274" s="8"/>
      <c r="B274" s="8"/>
      <c r="C274" s="8"/>
      <c r="D274" s="9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</row>
    <row r="275" ht="15.75" customHeight="1">
      <c r="A275" s="8"/>
      <c r="B275" s="8"/>
      <c r="C275" s="8"/>
      <c r="D275" s="9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</row>
    <row r="276" ht="15.75" customHeight="1">
      <c r="A276" s="8"/>
      <c r="B276" s="8"/>
      <c r="C276" s="8"/>
      <c r="D276" s="9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</row>
    <row r="277" ht="15.75" customHeight="1">
      <c r="A277" s="8"/>
      <c r="B277" s="8"/>
      <c r="C277" s="8"/>
      <c r="D277" s="9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</row>
    <row r="278" ht="15.75" customHeight="1">
      <c r="A278" s="8"/>
      <c r="B278" s="8"/>
      <c r="C278" s="8"/>
      <c r="D278" s="9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</row>
    <row r="279" ht="15.75" customHeight="1">
      <c r="A279" s="8"/>
      <c r="B279" s="8"/>
      <c r="C279" s="8"/>
      <c r="D279" s="9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</row>
    <row r="280" ht="15.75" customHeight="1">
      <c r="A280" s="8"/>
      <c r="B280" s="8"/>
      <c r="C280" s="8"/>
      <c r="D280" s="9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</row>
    <row r="281" ht="15.75" customHeight="1">
      <c r="A281" s="8"/>
      <c r="B281" s="8"/>
      <c r="C281" s="8"/>
      <c r="D281" s="9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</row>
    <row r="282" ht="15.75" customHeight="1">
      <c r="A282" s="8"/>
      <c r="B282" s="8"/>
      <c r="C282" s="8"/>
      <c r="D282" s="9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</row>
    <row r="283" ht="15.75" customHeight="1">
      <c r="A283" s="8"/>
      <c r="B283" s="8"/>
      <c r="C283" s="8"/>
      <c r="D283" s="9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</row>
    <row r="284" ht="15.75" customHeight="1">
      <c r="A284" s="8"/>
      <c r="B284" s="8"/>
      <c r="C284" s="8"/>
      <c r="D284" s="9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</row>
    <row r="285" ht="15.75" customHeight="1">
      <c r="A285" s="8"/>
      <c r="B285" s="8"/>
      <c r="C285" s="8"/>
      <c r="D285" s="9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</row>
    <row r="286" ht="15.75" customHeight="1">
      <c r="A286" s="8"/>
      <c r="B286" s="8"/>
      <c r="C286" s="8"/>
      <c r="D286" s="9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</row>
    <row r="287" ht="15.75" customHeight="1">
      <c r="A287" s="8"/>
      <c r="B287" s="8"/>
      <c r="C287" s="8"/>
      <c r="D287" s="9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</row>
    <row r="288" ht="15.75" customHeight="1">
      <c r="A288" s="8"/>
      <c r="B288" s="8"/>
      <c r="C288" s="8"/>
      <c r="D288" s="9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</row>
    <row r="289" ht="15.75" customHeight="1">
      <c r="A289" s="8"/>
      <c r="B289" s="8"/>
      <c r="C289" s="8"/>
      <c r="D289" s="9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</row>
    <row r="290" ht="15.75" customHeight="1">
      <c r="A290" s="8"/>
      <c r="B290" s="8"/>
      <c r="C290" s="8"/>
      <c r="D290" s="9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</row>
    <row r="291" ht="15.75" customHeight="1">
      <c r="A291" s="8"/>
      <c r="B291" s="8"/>
      <c r="C291" s="8"/>
      <c r="D291" s="9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</row>
    <row r="292" ht="15.75" customHeight="1">
      <c r="A292" s="8"/>
      <c r="B292" s="8"/>
      <c r="C292" s="8"/>
      <c r="D292" s="9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</row>
    <row r="293" ht="15.75" customHeight="1">
      <c r="A293" s="8"/>
      <c r="B293" s="8"/>
      <c r="C293" s="8"/>
      <c r="D293" s="9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</row>
    <row r="294" ht="15.75" customHeight="1">
      <c r="A294" s="8"/>
      <c r="B294" s="8"/>
      <c r="C294" s="8"/>
      <c r="D294" s="9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</row>
    <row r="295" ht="15.75" customHeight="1">
      <c r="A295" s="8"/>
      <c r="B295" s="8"/>
      <c r="C295" s="8"/>
      <c r="D295" s="9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</row>
    <row r="296" ht="15.75" customHeight="1">
      <c r="A296" s="8"/>
      <c r="B296" s="8"/>
      <c r="C296" s="8"/>
      <c r="D296" s="9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</row>
    <row r="297" ht="15.75" customHeight="1">
      <c r="A297" s="8"/>
      <c r="B297" s="8"/>
      <c r="C297" s="8"/>
      <c r="D297" s="9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</row>
    <row r="298" ht="15.75" customHeight="1">
      <c r="A298" s="8"/>
      <c r="B298" s="8"/>
      <c r="C298" s="8"/>
      <c r="D298" s="9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</row>
    <row r="299" ht="15.75" customHeight="1">
      <c r="A299" s="8"/>
      <c r="B299" s="8"/>
      <c r="C299" s="8"/>
      <c r="D299" s="9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</row>
    <row r="300" ht="15.75" customHeight="1">
      <c r="A300" s="8"/>
      <c r="B300" s="8"/>
      <c r="C300" s="8"/>
      <c r="D300" s="9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</row>
    <row r="301" ht="15.75" customHeight="1">
      <c r="A301" s="8"/>
      <c r="B301" s="8"/>
      <c r="C301" s="8"/>
      <c r="D301" s="9"/>
      <c r="E301" s="8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</row>
    <row r="302" ht="15.75" customHeight="1">
      <c r="A302" s="8"/>
      <c r="B302" s="8"/>
      <c r="C302" s="8"/>
      <c r="D302" s="9"/>
      <c r="E302" s="8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</row>
    <row r="303" ht="15.75" customHeight="1">
      <c r="A303" s="8"/>
      <c r="B303" s="8"/>
      <c r="C303" s="8"/>
      <c r="D303" s="9"/>
      <c r="E303" s="8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</row>
    <row r="304" ht="15.75" customHeight="1">
      <c r="A304" s="8"/>
      <c r="B304" s="8"/>
      <c r="C304" s="8"/>
      <c r="D304" s="9"/>
      <c r="E304" s="8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</row>
    <row r="305" ht="15.75" customHeight="1">
      <c r="A305" s="8"/>
      <c r="B305" s="8"/>
      <c r="C305" s="8"/>
      <c r="D305" s="9"/>
      <c r="E305" s="8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</row>
    <row r="306" ht="15.75" customHeight="1">
      <c r="A306" s="8"/>
      <c r="B306" s="8"/>
      <c r="C306" s="8"/>
      <c r="D306" s="9"/>
      <c r="E306" s="8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</row>
    <row r="307" ht="15.75" customHeight="1">
      <c r="A307" s="8"/>
      <c r="B307" s="8"/>
      <c r="C307" s="8"/>
      <c r="D307" s="9"/>
      <c r="E307" s="8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</row>
    <row r="308" ht="15.75" customHeight="1">
      <c r="A308" s="8"/>
      <c r="B308" s="8"/>
      <c r="C308" s="8"/>
      <c r="D308" s="9"/>
      <c r="E308" s="8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</row>
    <row r="309" ht="15.75" customHeight="1">
      <c r="A309" s="8"/>
      <c r="B309" s="8"/>
      <c r="C309" s="8"/>
      <c r="D309" s="9"/>
      <c r="E309" s="8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</row>
    <row r="310" ht="15.75" customHeight="1">
      <c r="A310" s="8"/>
      <c r="B310" s="8"/>
      <c r="C310" s="8"/>
      <c r="D310" s="9"/>
      <c r="E310" s="8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</row>
    <row r="311" ht="15.75" customHeight="1">
      <c r="A311" s="8"/>
      <c r="B311" s="8"/>
      <c r="C311" s="8"/>
      <c r="D311" s="9"/>
      <c r="E311" s="8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</row>
    <row r="312" ht="15.75" customHeight="1">
      <c r="A312" s="8"/>
      <c r="B312" s="8"/>
      <c r="C312" s="8"/>
      <c r="D312" s="9"/>
      <c r="E312" s="8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</row>
    <row r="313" ht="15.75" customHeight="1">
      <c r="A313" s="8"/>
      <c r="B313" s="8"/>
      <c r="C313" s="8"/>
      <c r="D313" s="9"/>
      <c r="E313" s="8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</row>
    <row r="314" ht="15.75" customHeight="1">
      <c r="A314" s="8"/>
      <c r="B314" s="8"/>
      <c r="C314" s="8"/>
      <c r="D314" s="9"/>
      <c r="E314" s="8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</row>
    <row r="315" ht="15.75" customHeight="1">
      <c r="A315" s="8"/>
      <c r="B315" s="8"/>
      <c r="C315" s="8"/>
      <c r="D315" s="9"/>
      <c r="E315" s="8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</row>
    <row r="316" ht="15.75" customHeight="1">
      <c r="A316" s="8"/>
      <c r="B316" s="8"/>
      <c r="C316" s="8"/>
      <c r="D316" s="9"/>
      <c r="E316" s="8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</row>
    <row r="317" ht="15.75" customHeight="1">
      <c r="A317" s="8"/>
      <c r="B317" s="8"/>
      <c r="C317" s="8"/>
      <c r="D317" s="9"/>
      <c r="E317" s="8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</row>
    <row r="318" ht="15.75" customHeight="1">
      <c r="A318" s="8"/>
      <c r="B318" s="8"/>
      <c r="C318" s="8"/>
      <c r="D318" s="9"/>
      <c r="E318" s="8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</row>
    <row r="319" ht="15.75" customHeight="1">
      <c r="A319" s="8"/>
      <c r="B319" s="8"/>
      <c r="C319" s="8"/>
      <c r="D319" s="9"/>
      <c r="E319" s="8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</row>
    <row r="320" ht="15.75" customHeight="1">
      <c r="A320" s="8"/>
      <c r="B320" s="8"/>
      <c r="C320" s="8"/>
      <c r="D320" s="9"/>
      <c r="E320" s="8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</row>
    <row r="321" ht="15.75" customHeight="1">
      <c r="A321" s="8"/>
      <c r="B321" s="8"/>
      <c r="C321" s="8"/>
      <c r="D321" s="9"/>
      <c r="E321" s="8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</row>
    <row r="322" ht="15.75" customHeight="1">
      <c r="A322" s="8"/>
      <c r="B322" s="8"/>
      <c r="C322" s="8"/>
      <c r="D322" s="9"/>
      <c r="E322" s="8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</row>
    <row r="323" ht="15.75" customHeight="1">
      <c r="A323" s="8"/>
      <c r="B323" s="8"/>
      <c r="C323" s="8"/>
      <c r="D323" s="9"/>
      <c r="E323" s="8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</row>
    <row r="324" ht="15.75" customHeight="1">
      <c r="A324" s="8"/>
      <c r="B324" s="8"/>
      <c r="C324" s="8"/>
      <c r="D324" s="9"/>
      <c r="E324" s="8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</row>
    <row r="325" ht="15.75" customHeight="1">
      <c r="A325" s="8"/>
      <c r="B325" s="8"/>
      <c r="C325" s="8"/>
      <c r="D325" s="9"/>
      <c r="E325" s="8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</row>
    <row r="326" ht="15.75" customHeight="1">
      <c r="A326" s="8"/>
      <c r="B326" s="8"/>
      <c r="C326" s="8"/>
      <c r="D326" s="9"/>
      <c r="E326" s="8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</row>
    <row r="327" ht="15.75" customHeight="1">
      <c r="A327" s="8"/>
      <c r="B327" s="8"/>
      <c r="C327" s="8"/>
      <c r="D327" s="9"/>
      <c r="E327" s="8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</row>
    <row r="328" ht="15.75" customHeight="1">
      <c r="A328" s="8"/>
      <c r="B328" s="8"/>
      <c r="C328" s="8"/>
      <c r="D328" s="9"/>
      <c r="E328" s="8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</row>
    <row r="329" ht="15.75" customHeight="1">
      <c r="A329" s="8"/>
      <c r="B329" s="8"/>
      <c r="C329" s="8"/>
      <c r="D329" s="9"/>
      <c r="E329" s="8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</row>
    <row r="330" ht="15.75" customHeight="1">
      <c r="A330" s="8"/>
      <c r="B330" s="8"/>
      <c r="C330" s="8"/>
      <c r="D330" s="9"/>
      <c r="E330" s="8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</row>
    <row r="331" ht="15.75" customHeight="1">
      <c r="A331" s="8"/>
      <c r="B331" s="8"/>
      <c r="C331" s="8"/>
      <c r="D331" s="9"/>
      <c r="E331" s="8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</row>
    <row r="332" ht="15.75" customHeight="1">
      <c r="A332" s="8"/>
      <c r="B332" s="8"/>
      <c r="C332" s="8"/>
      <c r="D332" s="9"/>
      <c r="E332" s="8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</row>
    <row r="333" ht="15.75" customHeight="1">
      <c r="A333" s="8"/>
      <c r="B333" s="8"/>
      <c r="C333" s="8"/>
      <c r="D333" s="9"/>
      <c r="E333" s="8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</row>
    <row r="334" ht="15.75" customHeight="1">
      <c r="A334" s="8"/>
      <c r="B334" s="8"/>
      <c r="C334" s="8"/>
      <c r="D334" s="9"/>
      <c r="E334" s="8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</row>
    <row r="335" ht="15.75" customHeight="1">
      <c r="A335" s="8"/>
      <c r="B335" s="8"/>
      <c r="C335" s="8"/>
      <c r="D335" s="9"/>
      <c r="E335" s="8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</row>
    <row r="336" ht="15.75" customHeight="1">
      <c r="A336" s="8"/>
      <c r="B336" s="8"/>
      <c r="C336" s="8"/>
      <c r="D336" s="9"/>
      <c r="E336" s="8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</row>
    <row r="337" ht="15.75" customHeight="1">
      <c r="A337" s="8"/>
      <c r="B337" s="8"/>
      <c r="C337" s="8"/>
      <c r="D337" s="9"/>
      <c r="E337" s="8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</row>
    <row r="338" ht="15.75" customHeight="1">
      <c r="A338" s="8"/>
      <c r="B338" s="8"/>
      <c r="C338" s="8"/>
      <c r="D338" s="9"/>
      <c r="E338" s="8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</row>
    <row r="339" ht="15.75" customHeight="1">
      <c r="A339" s="8"/>
      <c r="B339" s="8"/>
      <c r="C339" s="8"/>
      <c r="D339" s="9"/>
      <c r="E339" s="8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</row>
    <row r="340" ht="15.75" customHeight="1">
      <c r="A340" s="8"/>
      <c r="B340" s="8"/>
      <c r="C340" s="8"/>
      <c r="D340" s="9"/>
      <c r="E340" s="8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</row>
    <row r="341" ht="15.75" customHeight="1">
      <c r="A341" s="8"/>
      <c r="B341" s="8"/>
      <c r="C341" s="8"/>
      <c r="D341" s="9"/>
      <c r="E341" s="8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</row>
    <row r="342" ht="15.75" customHeight="1">
      <c r="A342" s="8"/>
      <c r="B342" s="8"/>
      <c r="C342" s="8"/>
      <c r="D342" s="9"/>
      <c r="E342" s="8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</row>
    <row r="343" ht="15.75" customHeight="1">
      <c r="A343" s="8"/>
      <c r="B343" s="8"/>
      <c r="C343" s="8"/>
      <c r="D343" s="9"/>
      <c r="E343" s="8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</row>
    <row r="344" ht="15.75" customHeight="1">
      <c r="A344" s="8"/>
      <c r="B344" s="8"/>
      <c r="C344" s="8"/>
      <c r="D344" s="9"/>
      <c r="E344" s="8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</row>
    <row r="345" ht="15.75" customHeight="1">
      <c r="A345" s="8"/>
      <c r="B345" s="8"/>
      <c r="C345" s="8"/>
      <c r="D345" s="9"/>
      <c r="E345" s="8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</row>
    <row r="346" ht="15.75" customHeight="1">
      <c r="A346" s="8"/>
      <c r="B346" s="8"/>
      <c r="C346" s="8"/>
      <c r="D346" s="9"/>
      <c r="E346" s="8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</row>
    <row r="347" ht="15.75" customHeight="1">
      <c r="A347" s="8"/>
      <c r="B347" s="8"/>
      <c r="C347" s="8"/>
      <c r="D347" s="9"/>
      <c r="E347" s="8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</row>
    <row r="348" ht="15.75" customHeight="1">
      <c r="A348" s="8"/>
      <c r="B348" s="8"/>
      <c r="C348" s="8"/>
      <c r="D348" s="9"/>
      <c r="E348" s="8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</row>
    <row r="349" ht="15.75" customHeight="1">
      <c r="A349" s="8"/>
      <c r="B349" s="8"/>
      <c r="C349" s="8"/>
      <c r="D349" s="9"/>
      <c r="E349" s="8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</row>
    <row r="350" ht="15.75" customHeight="1">
      <c r="A350" s="8"/>
      <c r="B350" s="8"/>
      <c r="C350" s="8"/>
      <c r="D350" s="9"/>
      <c r="E350" s="8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</row>
    <row r="351" ht="15.75" customHeight="1">
      <c r="A351" s="8"/>
      <c r="B351" s="8"/>
      <c r="C351" s="8"/>
      <c r="D351" s="9"/>
      <c r="E351" s="8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</row>
    <row r="352" ht="15.75" customHeight="1">
      <c r="A352" s="8"/>
      <c r="B352" s="8"/>
      <c r="C352" s="8"/>
      <c r="D352" s="9"/>
      <c r="E352" s="8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</row>
    <row r="353" ht="15.75" customHeight="1">
      <c r="A353" s="8"/>
      <c r="B353" s="8"/>
      <c r="C353" s="8"/>
      <c r="D353" s="9"/>
      <c r="E353" s="8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</row>
    <row r="354" ht="15.75" customHeight="1">
      <c r="A354" s="8"/>
      <c r="B354" s="8"/>
      <c r="C354" s="8"/>
      <c r="D354" s="9"/>
      <c r="E354" s="8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</row>
    <row r="355" ht="15.75" customHeight="1">
      <c r="A355" s="8"/>
      <c r="B355" s="8"/>
      <c r="C355" s="8"/>
      <c r="D355" s="9"/>
      <c r="E355" s="8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</row>
    <row r="356" ht="15.75" customHeight="1">
      <c r="A356" s="8"/>
      <c r="B356" s="8"/>
      <c r="C356" s="8"/>
      <c r="D356" s="9"/>
      <c r="E356" s="8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</row>
    <row r="357" ht="15.75" customHeight="1">
      <c r="A357" s="8"/>
      <c r="B357" s="8"/>
      <c r="C357" s="8"/>
      <c r="D357" s="9"/>
      <c r="E357" s="8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</row>
    <row r="358" ht="15.75" customHeight="1">
      <c r="A358" s="8"/>
      <c r="B358" s="8"/>
      <c r="C358" s="8"/>
      <c r="D358" s="9"/>
      <c r="E358" s="8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</row>
    <row r="359" ht="15.75" customHeight="1">
      <c r="A359" s="8"/>
      <c r="B359" s="8"/>
      <c r="C359" s="8"/>
      <c r="D359" s="9"/>
      <c r="E359" s="8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</row>
    <row r="360" ht="15.75" customHeight="1">
      <c r="A360" s="8"/>
      <c r="B360" s="8"/>
      <c r="C360" s="8"/>
      <c r="D360" s="9"/>
      <c r="E360" s="8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</row>
    <row r="361" ht="15.75" customHeight="1">
      <c r="A361" s="8"/>
      <c r="B361" s="8"/>
      <c r="C361" s="8"/>
      <c r="D361" s="9"/>
      <c r="E361" s="8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</row>
    <row r="362" ht="15.75" customHeight="1">
      <c r="A362" s="8"/>
      <c r="B362" s="8"/>
      <c r="C362" s="8"/>
      <c r="D362" s="9"/>
      <c r="E362" s="8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</row>
    <row r="363" ht="15.75" customHeight="1">
      <c r="A363" s="8"/>
      <c r="B363" s="8"/>
      <c r="C363" s="8"/>
      <c r="D363" s="9"/>
      <c r="E363" s="8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</row>
    <row r="364" ht="15.75" customHeight="1">
      <c r="A364" s="8"/>
      <c r="B364" s="8"/>
      <c r="C364" s="8"/>
      <c r="D364" s="9"/>
      <c r="E364" s="8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</row>
    <row r="365" ht="15.75" customHeight="1">
      <c r="A365" s="8"/>
      <c r="B365" s="8"/>
      <c r="C365" s="8"/>
      <c r="D365" s="9"/>
      <c r="E365" s="8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</row>
    <row r="366" ht="15.75" customHeight="1">
      <c r="A366" s="8"/>
      <c r="B366" s="8"/>
      <c r="C366" s="8"/>
      <c r="D366" s="9"/>
      <c r="E366" s="8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</row>
    <row r="367" ht="15.75" customHeight="1">
      <c r="A367" s="8"/>
      <c r="B367" s="8"/>
      <c r="C367" s="8"/>
      <c r="D367" s="9"/>
      <c r="E367" s="8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</row>
    <row r="368" ht="15.75" customHeight="1">
      <c r="A368" s="8"/>
      <c r="B368" s="8"/>
      <c r="C368" s="8"/>
      <c r="D368" s="9"/>
      <c r="E368" s="8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</row>
    <row r="369" ht="15.75" customHeight="1">
      <c r="A369" s="8"/>
      <c r="B369" s="8"/>
      <c r="C369" s="8"/>
      <c r="D369" s="9"/>
      <c r="E369" s="8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</row>
    <row r="370" ht="15.75" customHeight="1">
      <c r="A370" s="8"/>
      <c r="B370" s="8"/>
      <c r="C370" s="8"/>
      <c r="D370" s="9"/>
      <c r="E370" s="8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</row>
    <row r="371" ht="15.75" customHeight="1">
      <c r="A371" s="8"/>
      <c r="B371" s="8"/>
      <c r="C371" s="8"/>
      <c r="D371" s="9"/>
      <c r="E371" s="8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</row>
    <row r="372" ht="15.75" customHeight="1">
      <c r="A372" s="8"/>
      <c r="B372" s="8"/>
      <c r="C372" s="8"/>
      <c r="D372" s="9"/>
      <c r="E372" s="8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</row>
    <row r="373" ht="15.75" customHeight="1">
      <c r="A373" s="8"/>
      <c r="B373" s="8"/>
      <c r="C373" s="8"/>
      <c r="D373" s="9"/>
      <c r="E373" s="8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</row>
    <row r="374" ht="15.75" customHeight="1">
      <c r="A374" s="8"/>
      <c r="B374" s="8"/>
      <c r="C374" s="8"/>
      <c r="D374" s="9"/>
      <c r="E374" s="8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</row>
    <row r="375" ht="15.75" customHeight="1">
      <c r="A375" s="8"/>
      <c r="B375" s="8"/>
      <c r="C375" s="8"/>
      <c r="D375" s="9"/>
      <c r="E375" s="8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</row>
    <row r="376" ht="15.75" customHeight="1">
      <c r="A376" s="8"/>
      <c r="B376" s="8"/>
      <c r="C376" s="8"/>
      <c r="D376" s="9"/>
      <c r="E376" s="8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</row>
    <row r="377" ht="15.75" customHeight="1">
      <c r="A377" s="8"/>
      <c r="B377" s="8"/>
      <c r="C377" s="8"/>
      <c r="D377" s="9"/>
      <c r="E377" s="8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</row>
    <row r="378" ht="15.75" customHeight="1">
      <c r="A378" s="8"/>
      <c r="B378" s="8"/>
      <c r="C378" s="8"/>
      <c r="D378" s="9"/>
      <c r="E378" s="8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</row>
    <row r="379" ht="15.75" customHeight="1">
      <c r="A379" s="8"/>
      <c r="B379" s="8"/>
      <c r="C379" s="8"/>
      <c r="D379" s="9"/>
      <c r="E379" s="8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</row>
    <row r="380" ht="15.75" customHeight="1">
      <c r="A380" s="8"/>
      <c r="B380" s="8"/>
      <c r="C380" s="8"/>
      <c r="D380" s="9"/>
      <c r="E380" s="8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</row>
    <row r="381" ht="15.75" customHeight="1">
      <c r="A381" s="8"/>
      <c r="B381" s="8"/>
      <c r="C381" s="8"/>
      <c r="D381" s="9"/>
      <c r="E381" s="8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</row>
    <row r="382" ht="15.75" customHeight="1">
      <c r="A382" s="8"/>
      <c r="B382" s="8"/>
      <c r="C382" s="8"/>
      <c r="D382" s="9"/>
      <c r="E382" s="8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</row>
    <row r="383" ht="15.75" customHeight="1">
      <c r="A383" s="8"/>
      <c r="B383" s="8"/>
      <c r="C383" s="8"/>
      <c r="D383" s="9"/>
      <c r="E383" s="8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</row>
    <row r="384" ht="15.75" customHeight="1">
      <c r="A384" s="8"/>
      <c r="B384" s="8"/>
      <c r="C384" s="8"/>
      <c r="D384" s="9"/>
      <c r="E384" s="8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</row>
    <row r="385" ht="15.75" customHeight="1">
      <c r="A385" s="8"/>
      <c r="B385" s="8"/>
      <c r="C385" s="8"/>
      <c r="D385" s="9"/>
      <c r="E385" s="8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</row>
    <row r="386" ht="15.75" customHeight="1">
      <c r="A386" s="8"/>
      <c r="B386" s="8"/>
      <c r="C386" s="8"/>
      <c r="D386" s="9"/>
      <c r="E386" s="8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</row>
    <row r="387" ht="15.75" customHeight="1">
      <c r="A387" s="8"/>
      <c r="B387" s="8"/>
      <c r="C387" s="8"/>
      <c r="D387" s="9"/>
      <c r="E387" s="8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</row>
    <row r="388" ht="15.75" customHeight="1">
      <c r="A388" s="8"/>
      <c r="B388" s="8"/>
      <c r="C388" s="8"/>
      <c r="D388" s="9"/>
      <c r="E388" s="8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</row>
    <row r="389" ht="15.75" customHeight="1">
      <c r="A389" s="8"/>
      <c r="B389" s="8"/>
      <c r="C389" s="8"/>
      <c r="D389" s="9"/>
      <c r="E389" s="8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</row>
    <row r="390" ht="15.75" customHeight="1">
      <c r="A390" s="8"/>
      <c r="B390" s="8"/>
      <c r="C390" s="8"/>
      <c r="D390" s="9"/>
      <c r="E390" s="8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</row>
    <row r="391" ht="15.75" customHeight="1">
      <c r="A391" s="8"/>
      <c r="B391" s="8"/>
      <c r="C391" s="8"/>
      <c r="D391" s="9"/>
      <c r="E391" s="8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</row>
    <row r="392" ht="15.75" customHeight="1">
      <c r="A392" s="8"/>
      <c r="B392" s="8"/>
      <c r="C392" s="8"/>
      <c r="D392" s="9"/>
      <c r="E392" s="8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</row>
    <row r="393" ht="15.75" customHeight="1">
      <c r="A393" s="8"/>
      <c r="B393" s="8"/>
      <c r="C393" s="8"/>
      <c r="D393" s="9"/>
      <c r="E393" s="8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</row>
    <row r="394" ht="15.75" customHeight="1">
      <c r="A394" s="8"/>
      <c r="B394" s="8"/>
      <c r="C394" s="8"/>
      <c r="D394" s="9"/>
      <c r="E394" s="8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</row>
    <row r="395" ht="15.75" customHeight="1">
      <c r="A395" s="8"/>
      <c r="B395" s="8"/>
      <c r="C395" s="8"/>
      <c r="D395" s="9"/>
      <c r="E395" s="8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</row>
    <row r="396" ht="15.75" customHeight="1">
      <c r="A396" s="8"/>
      <c r="B396" s="8"/>
      <c r="C396" s="8"/>
      <c r="D396" s="9"/>
      <c r="E396" s="8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</row>
    <row r="397" ht="15.75" customHeight="1">
      <c r="A397" s="8"/>
      <c r="B397" s="8"/>
      <c r="C397" s="8"/>
      <c r="D397" s="9"/>
      <c r="E397" s="8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</row>
    <row r="398" ht="15.75" customHeight="1">
      <c r="A398" s="8"/>
      <c r="B398" s="8"/>
      <c r="C398" s="8"/>
      <c r="D398" s="9"/>
      <c r="E398" s="8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</row>
    <row r="399" ht="15.75" customHeight="1">
      <c r="A399" s="8"/>
      <c r="B399" s="8"/>
      <c r="C399" s="8"/>
      <c r="D399" s="9"/>
      <c r="E399" s="8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</row>
    <row r="400" ht="15.75" customHeight="1">
      <c r="A400" s="8"/>
      <c r="B400" s="8"/>
      <c r="C400" s="8"/>
      <c r="D400" s="9"/>
      <c r="E400" s="8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</row>
    <row r="401" ht="15.75" customHeight="1">
      <c r="A401" s="8"/>
      <c r="B401" s="8"/>
      <c r="C401" s="8"/>
      <c r="D401" s="9"/>
      <c r="E401" s="8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</row>
    <row r="402" ht="15.75" customHeight="1">
      <c r="A402" s="8"/>
      <c r="B402" s="8"/>
      <c r="C402" s="8"/>
      <c r="D402" s="9"/>
      <c r="E402" s="8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</row>
    <row r="403" ht="15.75" customHeight="1">
      <c r="A403" s="8"/>
      <c r="B403" s="8"/>
      <c r="C403" s="8"/>
      <c r="D403" s="9"/>
      <c r="E403" s="8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</row>
    <row r="404" ht="15.75" customHeight="1">
      <c r="A404" s="8"/>
      <c r="B404" s="8"/>
      <c r="C404" s="8"/>
      <c r="D404" s="9"/>
      <c r="E404" s="8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</row>
    <row r="405" ht="15.75" customHeight="1">
      <c r="A405" s="8"/>
      <c r="B405" s="8"/>
      <c r="C405" s="8"/>
      <c r="D405" s="9"/>
      <c r="E405" s="8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</row>
    <row r="406" ht="15.75" customHeight="1">
      <c r="A406" s="8"/>
      <c r="B406" s="8"/>
      <c r="C406" s="8"/>
      <c r="D406" s="9"/>
      <c r="E406" s="8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</row>
    <row r="407" ht="15.75" customHeight="1">
      <c r="A407" s="8"/>
      <c r="B407" s="8"/>
      <c r="C407" s="8"/>
      <c r="D407" s="9"/>
      <c r="E407" s="8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</row>
    <row r="408" ht="15.75" customHeight="1">
      <c r="A408" s="8"/>
      <c r="B408" s="8"/>
      <c r="C408" s="8"/>
      <c r="D408" s="9"/>
      <c r="E408" s="8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</row>
    <row r="409" ht="15.75" customHeight="1">
      <c r="A409" s="8"/>
      <c r="B409" s="8"/>
      <c r="C409" s="8"/>
      <c r="D409" s="9"/>
      <c r="E409" s="8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</row>
    <row r="410" ht="15.75" customHeight="1">
      <c r="A410" s="8"/>
      <c r="B410" s="8"/>
      <c r="C410" s="8"/>
      <c r="D410" s="9"/>
      <c r="E410" s="8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</row>
    <row r="411" ht="15.75" customHeight="1">
      <c r="A411" s="8"/>
      <c r="B411" s="8"/>
      <c r="C411" s="8"/>
      <c r="D411" s="9"/>
      <c r="E411" s="8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</row>
    <row r="412" ht="15.75" customHeight="1">
      <c r="A412" s="8"/>
      <c r="B412" s="8"/>
      <c r="C412" s="8"/>
      <c r="D412" s="9"/>
      <c r="E412" s="8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</row>
    <row r="413" ht="15.75" customHeight="1">
      <c r="A413" s="8"/>
      <c r="B413" s="8"/>
      <c r="C413" s="8"/>
      <c r="D413" s="9"/>
      <c r="E413" s="8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</row>
    <row r="414" ht="15.75" customHeight="1">
      <c r="A414" s="8"/>
      <c r="B414" s="8"/>
      <c r="C414" s="8"/>
      <c r="D414" s="9"/>
      <c r="E414" s="8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</row>
    <row r="415" ht="15.75" customHeight="1">
      <c r="A415" s="8"/>
      <c r="B415" s="8"/>
      <c r="C415" s="8"/>
      <c r="D415" s="9"/>
      <c r="E415" s="8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</row>
    <row r="416" ht="15.75" customHeight="1">
      <c r="A416" s="8"/>
      <c r="B416" s="8"/>
      <c r="C416" s="8"/>
      <c r="D416" s="9"/>
      <c r="E416" s="8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</row>
    <row r="417" ht="15.75" customHeight="1">
      <c r="A417" s="8"/>
      <c r="B417" s="8"/>
      <c r="C417" s="8"/>
      <c r="D417" s="9"/>
      <c r="E417" s="8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</row>
    <row r="418" ht="15.75" customHeight="1">
      <c r="A418" s="8"/>
      <c r="B418" s="8"/>
      <c r="C418" s="8"/>
      <c r="D418" s="9"/>
      <c r="E418" s="8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</row>
    <row r="419" ht="15.75" customHeight="1">
      <c r="A419" s="8"/>
      <c r="B419" s="8"/>
      <c r="C419" s="8"/>
      <c r="D419" s="9"/>
      <c r="E419" s="8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</row>
    <row r="420" ht="15.75" customHeight="1">
      <c r="A420" s="8"/>
      <c r="B420" s="8"/>
      <c r="C420" s="8"/>
      <c r="D420" s="9"/>
      <c r="E420" s="8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</row>
    <row r="421" ht="15.75" customHeight="1">
      <c r="A421" s="8"/>
      <c r="B421" s="8"/>
      <c r="C421" s="8"/>
      <c r="D421" s="9"/>
      <c r="E421" s="8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</row>
    <row r="422" ht="15.75" customHeight="1">
      <c r="A422" s="8"/>
      <c r="B422" s="8"/>
      <c r="C422" s="8"/>
      <c r="D422" s="9"/>
      <c r="E422" s="8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</row>
    <row r="423" ht="15.75" customHeight="1">
      <c r="A423" s="8"/>
      <c r="B423" s="8"/>
      <c r="C423" s="8"/>
      <c r="D423" s="9"/>
      <c r="E423" s="8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</row>
    <row r="424" ht="15.75" customHeight="1">
      <c r="A424" s="8"/>
      <c r="B424" s="8"/>
      <c r="C424" s="8"/>
      <c r="D424" s="9"/>
      <c r="E424" s="8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</row>
    <row r="425" ht="15.75" customHeight="1">
      <c r="A425" s="8"/>
      <c r="B425" s="8"/>
      <c r="C425" s="8"/>
      <c r="D425" s="9"/>
      <c r="E425" s="8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</row>
    <row r="426" ht="15.75" customHeight="1">
      <c r="A426" s="8"/>
      <c r="B426" s="8"/>
      <c r="C426" s="8"/>
      <c r="D426" s="9"/>
      <c r="E426" s="8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</row>
    <row r="427" ht="15.75" customHeight="1">
      <c r="A427" s="8"/>
      <c r="B427" s="8"/>
      <c r="C427" s="8"/>
      <c r="D427" s="9"/>
      <c r="E427" s="8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</row>
    <row r="428" ht="15.75" customHeight="1">
      <c r="A428" s="8"/>
      <c r="B428" s="8"/>
      <c r="C428" s="8"/>
      <c r="D428" s="9"/>
      <c r="E428" s="8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</row>
    <row r="429" ht="15.75" customHeight="1">
      <c r="A429" s="8"/>
      <c r="B429" s="8"/>
      <c r="C429" s="8"/>
      <c r="D429" s="9"/>
      <c r="E429" s="8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</row>
    <row r="430" ht="15.75" customHeight="1">
      <c r="A430" s="8"/>
      <c r="B430" s="8"/>
      <c r="C430" s="8"/>
      <c r="D430" s="9"/>
      <c r="E430" s="8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</row>
    <row r="431" ht="15.75" customHeight="1">
      <c r="A431" s="8"/>
      <c r="B431" s="8"/>
      <c r="C431" s="8"/>
      <c r="D431" s="9"/>
      <c r="E431" s="8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</row>
    <row r="432" ht="15.75" customHeight="1">
      <c r="A432" s="8"/>
      <c r="B432" s="8"/>
      <c r="C432" s="8"/>
      <c r="D432" s="9"/>
      <c r="E432" s="8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</row>
    <row r="433" ht="15.75" customHeight="1">
      <c r="A433" s="8"/>
      <c r="B433" s="8"/>
      <c r="C433" s="8"/>
      <c r="D433" s="9"/>
      <c r="E433" s="8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</row>
    <row r="434" ht="15.75" customHeight="1">
      <c r="A434" s="8"/>
      <c r="B434" s="8"/>
      <c r="C434" s="8"/>
      <c r="D434" s="9"/>
      <c r="E434" s="8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</row>
    <row r="435" ht="15.75" customHeight="1">
      <c r="A435" s="8"/>
      <c r="B435" s="8"/>
      <c r="C435" s="8"/>
      <c r="D435" s="9"/>
      <c r="E435" s="8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</row>
    <row r="436" ht="15.75" customHeight="1">
      <c r="A436" s="8"/>
      <c r="B436" s="8"/>
      <c r="C436" s="8"/>
      <c r="D436" s="9"/>
      <c r="E436" s="8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</row>
    <row r="437" ht="15.75" customHeight="1">
      <c r="A437" s="8"/>
      <c r="B437" s="8"/>
      <c r="C437" s="8"/>
      <c r="D437" s="9"/>
      <c r="E437" s="8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</row>
    <row r="438" ht="15.75" customHeight="1">
      <c r="A438" s="8"/>
      <c r="B438" s="8"/>
      <c r="C438" s="8"/>
      <c r="D438" s="9"/>
      <c r="E438" s="8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</row>
    <row r="439" ht="15.75" customHeight="1">
      <c r="A439" s="8"/>
      <c r="B439" s="8"/>
      <c r="C439" s="8"/>
      <c r="D439" s="9"/>
      <c r="E439" s="8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</row>
    <row r="440" ht="15.75" customHeight="1">
      <c r="A440" s="8"/>
      <c r="B440" s="8"/>
      <c r="C440" s="8"/>
      <c r="D440" s="9"/>
      <c r="E440" s="8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</row>
    <row r="441" ht="15.75" customHeight="1">
      <c r="A441" s="8"/>
      <c r="B441" s="8"/>
      <c r="C441" s="8"/>
      <c r="D441" s="9"/>
      <c r="E441" s="8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</row>
    <row r="442" ht="15.75" customHeight="1">
      <c r="A442" s="8"/>
      <c r="B442" s="8"/>
      <c r="C442" s="8"/>
      <c r="D442" s="9"/>
      <c r="E442" s="8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</row>
    <row r="443" ht="15.75" customHeight="1">
      <c r="A443" s="8"/>
      <c r="B443" s="8"/>
      <c r="C443" s="8"/>
      <c r="D443" s="9"/>
      <c r="E443" s="8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</row>
    <row r="444" ht="15.75" customHeight="1">
      <c r="A444" s="8"/>
      <c r="B444" s="8"/>
      <c r="C444" s="8"/>
      <c r="D444" s="9"/>
      <c r="E444" s="8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</row>
    <row r="445" ht="15.75" customHeight="1">
      <c r="A445" s="8"/>
      <c r="B445" s="8"/>
      <c r="C445" s="8"/>
      <c r="D445" s="9"/>
      <c r="E445" s="8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</row>
    <row r="446" ht="15.75" customHeight="1">
      <c r="A446" s="8"/>
      <c r="B446" s="8"/>
      <c r="C446" s="8"/>
      <c r="D446" s="9"/>
      <c r="E446" s="8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</row>
    <row r="447" ht="15.75" customHeight="1">
      <c r="A447" s="8"/>
      <c r="B447" s="8"/>
      <c r="C447" s="8"/>
      <c r="D447" s="9"/>
      <c r="E447" s="8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</row>
    <row r="448" ht="15.75" customHeight="1">
      <c r="A448" s="8"/>
      <c r="B448" s="8"/>
      <c r="C448" s="8"/>
      <c r="D448" s="9"/>
      <c r="E448" s="8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</row>
    <row r="449" ht="15.75" customHeight="1">
      <c r="A449" s="8"/>
      <c r="B449" s="8"/>
      <c r="C449" s="8"/>
      <c r="D449" s="9"/>
      <c r="E449" s="8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</row>
    <row r="450" ht="15.75" customHeight="1">
      <c r="A450" s="8"/>
      <c r="B450" s="8"/>
      <c r="C450" s="8"/>
      <c r="D450" s="9"/>
      <c r="E450" s="8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</row>
    <row r="451" ht="15.75" customHeight="1">
      <c r="A451" s="8"/>
      <c r="B451" s="8"/>
      <c r="C451" s="8"/>
      <c r="D451" s="9"/>
      <c r="E451" s="8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</row>
    <row r="452" ht="15.75" customHeight="1">
      <c r="A452" s="8"/>
      <c r="B452" s="8"/>
      <c r="C452" s="8"/>
      <c r="D452" s="9"/>
      <c r="E452" s="8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</row>
    <row r="453" ht="15.75" customHeight="1">
      <c r="A453" s="8"/>
      <c r="B453" s="8"/>
      <c r="C453" s="8"/>
      <c r="D453" s="9"/>
      <c r="E453" s="8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</row>
    <row r="454" ht="15.75" customHeight="1">
      <c r="A454" s="8"/>
      <c r="B454" s="8"/>
      <c r="C454" s="8"/>
      <c r="D454" s="9"/>
      <c r="E454" s="8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</row>
    <row r="455" ht="15.75" customHeight="1">
      <c r="A455" s="8"/>
      <c r="B455" s="8"/>
      <c r="C455" s="8"/>
      <c r="D455" s="9"/>
      <c r="E455" s="8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</row>
    <row r="456" ht="15.75" customHeight="1">
      <c r="A456" s="8"/>
      <c r="B456" s="8"/>
      <c r="C456" s="8"/>
      <c r="D456" s="9"/>
      <c r="E456" s="8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</row>
    <row r="457" ht="15.75" customHeight="1">
      <c r="A457" s="8"/>
      <c r="B457" s="8"/>
      <c r="C457" s="8"/>
      <c r="D457" s="9"/>
      <c r="E457" s="8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</row>
    <row r="458" ht="15.75" customHeight="1">
      <c r="A458" s="8"/>
      <c r="B458" s="8"/>
      <c r="C458" s="8"/>
      <c r="D458" s="9"/>
      <c r="E458" s="8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</row>
    <row r="459" ht="15.75" customHeight="1">
      <c r="A459" s="8"/>
      <c r="B459" s="8"/>
      <c r="C459" s="8"/>
      <c r="D459" s="9"/>
      <c r="E459" s="8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</row>
    <row r="460" ht="15.75" customHeight="1">
      <c r="A460" s="8"/>
      <c r="B460" s="8"/>
      <c r="C460" s="8"/>
      <c r="D460" s="9"/>
      <c r="E460" s="8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</row>
    <row r="461" ht="15.75" customHeight="1">
      <c r="A461" s="8"/>
      <c r="B461" s="8"/>
      <c r="C461" s="8"/>
      <c r="D461" s="9"/>
      <c r="E461" s="8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</row>
    <row r="462" ht="15.75" customHeight="1">
      <c r="A462" s="8"/>
      <c r="B462" s="8"/>
      <c r="C462" s="8"/>
      <c r="D462" s="9"/>
      <c r="E462" s="8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</row>
    <row r="463" ht="15.75" customHeight="1">
      <c r="A463" s="8"/>
      <c r="B463" s="8"/>
      <c r="C463" s="8"/>
      <c r="D463" s="9"/>
      <c r="E463" s="8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</row>
    <row r="464" ht="15.75" customHeight="1">
      <c r="A464" s="8"/>
      <c r="B464" s="8"/>
      <c r="C464" s="8"/>
      <c r="D464" s="9"/>
      <c r="E464" s="8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</row>
    <row r="465" ht="15.75" customHeight="1">
      <c r="A465" s="8"/>
      <c r="B465" s="8"/>
      <c r="C465" s="8"/>
      <c r="D465" s="9"/>
      <c r="E465" s="8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</row>
    <row r="466" ht="15.75" customHeight="1">
      <c r="A466" s="8"/>
      <c r="B466" s="8"/>
      <c r="C466" s="8"/>
      <c r="D466" s="9"/>
      <c r="E466" s="8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</row>
    <row r="467" ht="15.75" customHeight="1">
      <c r="A467" s="8"/>
      <c r="B467" s="8"/>
      <c r="C467" s="8"/>
      <c r="D467" s="9"/>
      <c r="E467" s="8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</row>
    <row r="468" ht="15.75" customHeight="1">
      <c r="A468" s="8"/>
      <c r="B468" s="8"/>
      <c r="C468" s="8"/>
      <c r="D468" s="9"/>
      <c r="E468" s="8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</row>
    <row r="469" ht="15.75" customHeight="1">
      <c r="A469" s="8"/>
      <c r="B469" s="8"/>
      <c r="C469" s="8"/>
      <c r="D469" s="9"/>
      <c r="E469" s="8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</row>
    <row r="470" ht="15.75" customHeight="1">
      <c r="A470" s="8"/>
      <c r="B470" s="8"/>
      <c r="C470" s="8"/>
      <c r="D470" s="9"/>
      <c r="E470" s="8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</row>
    <row r="471" ht="15.75" customHeight="1">
      <c r="A471" s="8"/>
      <c r="B471" s="8"/>
      <c r="C471" s="8"/>
      <c r="D471" s="9"/>
      <c r="E471" s="8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</row>
    <row r="472" ht="15.75" customHeight="1">
      <c r="A472" s="8"/>
      <c r="B472" s="8"/>
      <c r="C472" s="8"/>
      <c r="D472" s="9"/>
      <c r="E472" s="8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</row>
    <row r="473" ht="15.75" customHeight="1">
      <c r="A473" s="8"/>
      <c r="B473" s="8"/>
      <c r="C473" s="8"/>
      <c r="D473" s="9"/>
      <c r="E473" s="8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</row>
    <row r="474" ht="15.75" customHeight="1">
      <c r="A474" s="8"/>
      <c r="B474" s="8"/>
      <c r="C474" s="8"/>
      <c r="D474" s="9"/>
      <c r="E474" s="8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</row>
    <row r="475" ht="15.75" customHeight="1">
      <c r="A475" s="8"/>
      <c r="B475" s="8"/>
      <c r="C475" s="8"/>
      <c r="D475" s="9"/>
      <c r="E475" s="8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</row>
    <row r="476" ht="15.75" customHeight="1">
      <c r="A476" s="8"/>
      <c r="B476" s="8"/>
      <c r="C476" s="8"/>
      <c r="D476" s="9"/>
      <c r="E476" s="8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</row>
    <row r="477" ht="15.75" customHeight="1">
      <c r="A477" s="8"/>
      <c r="B477" s="8"/>
      <c r="C477" s="8"/>
      <c r="D477" s="9"/>
      <c r="E477" s="8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</row>
    <row r="478" ht="15.75" customHeight="1">
      <c r="A478" s="8"/>
      <c r="B478" s="8"/>
      <c r="C478" s="8"/>
      <c r="D478" s="9"/>
      <c r="E478" s="8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</row>
    <row r="479" ht="15.75" customHeight="1">
      <c r="A479" s="8"/>
      <c r="B479" s="8"/>
      <c r="C479" s="8"/>
      <c r="D479" s="9"/>
      <c r="E479" s="8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</row>
    <row r="480" ht="15.75" customHeight="1">
      <c r="A480" s="8"/>
      <c r="B480" s="8"/>
      <c r="C480" s="8"/>
      <c r="D480" s="9"/>
      <c r="E480" s="8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</row>
    <row r="481" ht="15.75" customHeight="1">
      <c r="A481" s="8"/>
      <c r="B481" s="8"/>
      <c r="C481" s="8"/>
      <c r="D481" s="9"/>
      <c r="E481" s="8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</row>
    <row r="482" ht="15.75" customHeight="1">
      <c r="A482" s="8"/>
      <c r="B482" s="8"/>
      <c r="C482" s="8"/>
      <c r="D482" s="9"/>
      <c r="E482" s="8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</row>
    <row r="483" ht="15.75" customHeight="1">
      <c r="A483" s="8"/>
      <c r="B483" s="8"/>
      <c r="C483" s="8"/>
      <c r="D483" s="9"/>
      <c r="E483" s="8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</row>
    <row r="484" ht="15.75" customHeight="1">
      <c r="A484" s="8"/>
      <c r="B484" s="8"/>
      <c r="C484" s="8"/>
      <c r="D484" s="9"/>
      <c r="E484" s="8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</row>
    <row r="485" ht="15.75" customHeight="1">
      <c r="A485" s="8"/>
      <c r="B485" s="8"/>
      <c r="C485" s="8"/>
      <c r="D485" s="9"/>
      <c r="E485" s="8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</row>
    <row r="486" ht="15.75" customHeight="1">
      <c r="A486" s="8"/>
      <c r="B486" s="8"/>
      <c r="C486" s="8"/>
      <c r="D486" s="9"/>
      <c r="E486" s="8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</row>
    <row r="487" ht="15.75" customHeight="1">
      <c r="A487" s="8"/>
      <c r="B487" s="8"/>
      <c r="C487" s="8"/>
      <c r="D487" s="9"/>
      <c r="E487" s="8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</row>
    <row r="488" ht="15.75" customHeight="1">
      <c r="A488" s="8"/>
      <c r="B488" s="8"/>
      <c r="C488" s="8"/>
      <c r="D488" s="9"/>
      <c r="E488" s="8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</row>
    <row r="489" ht="15.75" customHeight="1">
      <c r="A489" s="8"/>
      <c r="B489" s="8"/>
      <c r="C489" s="8"/>
      <c r="D489" s="9"/>
      <c r="E489" s="8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</row>
    <row r="490" ht="15.75" customHeight="1">
      <c r="A490" s="8"/>
      <c r="B490" s="8"/>
      <c r="C490" s="8"/>
      <c r="D490" s="9"/>
      <c r="E490" s="8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</row>
    <row r="491" ht="15.75" customHeight="1">
      <c r="A491" s="8"/>
      <c r="B491" s="8"/>
      <c r="C491" s="8"/>
      <c r="D491" s="9"/>
      <c r="E491" s="8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</row>
    <row r="492" ht="15.75" customHeight="1">
      <c r="A492" s="8"/>
      <c r="B492" s="8"/>
      <c r="C492" s="8"/>
      <c r="D492" s="9"/>
      <c r="E492" s="8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</row>
    <row r="493" ht="15.75" customHeight="1">
      <c r="A493" s="8"/>
      <c r="B493" s="8"/>
      <c r="C493" s="8"/>
      <c r="D493" s="9"/>
      <c r="E493" s="8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</row>
    <row r="494" ht="15.75" customHeight="1">
      <c r="A494" s="8"/>
      <c r="B494" s="8"/>
      <c r="C494" s="8"/>
      <c r="D494" s="9"/>
      <c r="E494" s="8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</row>
    <row r="495" ht="15.75" customHeight="1">
      <c r="A495" s="8"/>
      <c r="B495" s="8"/>
      <c r="C495" s="8"/>
      <c r="D495" s="9"/>
      <c r="E495" s="8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</row>
    <row r="496" ht="15.75" customHeight="1">
      <c r="A496" s="8"/>
      <c r="B496" s="8"/>
      <c r="C496" s="8"/>
      <c r="D496" s="9"/>
      <c r="E496" s="8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</row>
    <row r="497" ht="15.75" customHeight="1">
      <c r="A497" s="8"/>
      <c r="B497" s="8"/>
      <c r="C497" s="8"/>
      <c r="D497" s="9"/>
      <c r="E497" s="8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</row>
    <row r="498" ht="15.75" customHeight="1">
      <c r="A498" s="8"/>
      <c r="B498" s="8"/>
      <c r="C498" s="8"/>
      <c r="D498" s="9"/>
      <c r="E498" s="8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</row>
    <row r="499" ht="15.75" customHeight="1">
      <c r="A499" s="8"/>
      <c r="B499" s="8"/>
      <c r="C499" s="8"/>
      <c r="D499" s="9"/>
      <c r="E499" s="8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</row>
    <row r="500" ht="15.75" customHeight="1">
      <c r="A500" s="8"/>
      <c r="B500" s="8"/>
      <c r="C500" s="8"/>
      <c r="D500" s="9"/>
      <c r="E500" s="8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</row>
    <row r="501" ht="15.75" customHeight="1">
      <c r="A501" s="8"/>
      <c r="B501" s="8"/>
      <c r="C501" s="8"/>
      <c r="D501" s="9"/>
      <c r="E501" s="8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</row>
    <row r="502" ht="15.75" customHeight="1">
      <c r="A502" s="8"/>
      <c r="B502" s="8"/>
      <c r="C502" s="8"/>
      <c r="D502" s="9"/>
      <c r="E502" s="8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</row>
    <row r="503" ht="15.75" customHeight="1">
      <c r="A503" s="8"/>
      <c r="B503" s="8"/>
      <c r="C503" s="8"/>
      <c r="D503" s="9"/>
      <c r="E503" s="8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</row>
    <row r="504" ht="15.75" customHeight="1">
      <c r="A504" s="8"/>
      <c r="B504" s="8"/>
      <c r="C504" s="8"/>
      <c r="D504" s="9"/>
      <c r="E504" s="8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</row>
    <row r="505" ht="15.75" customHeight="1">
      <c r="A505" s="8"/>
      <c r="B505" s="8"/>
      <c r="C505" s="8"/>
      <c r="D505" s="9"/>
      <c r="E505" s="8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</row>
    <row r="506" ht="15.75" customHeight="1">
      <c r="A506" s="8"/>
      <c r="B506" s="8"/>
      <c r="C506" s="8"/>
      <c r="D506" s="9"/>
      <c r="E506" s="8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</row>
    <row r="507" ht="15.75" customHeight="1">
      <c r="A507" s="8"/>
      <c r="B507" s="8"/>
      <c r="C507" s="8"/>
      <c r="D507" s="9"/>
      <c r="E507" s="8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</row>
    <row r="508" ht="15.75" customHeight="1">
      <c r="A508" s="8"/>
      <c r="B508" s="8"/>
      <c r="C508" s="8"/>
      <c r="D508" s="9"/>
      <c r="E508" s="8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</row>
    <row r="509" ht="15.75" customHeight="1">
      <c r="A509" s="8"/>
      <c r="B509" s="8"/>
      <c r="C509" s="8"/>
      <c r="D509" s="9"/>
      <c r="E509" s="8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</row>
    <row r="510" ht="15.75" customHeight="1">
      <c r="A510" s="8"/>
      <c r="B510" s="8"/>
      <c r="C510" s="8"/>
      <c r="D510" s="9"/>
      <c r="E510" s="8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</row>
    <row r="511" ht="15.75" customHeight="1">
      <c r="A511" s="8"/>
      <c r="B511" s="8"/>
      <c r="C511" s="8"/>
      <c r="D511" s="9"/>
      <c r="E511" s="8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</row>
    <row r="512" ht="15.75" customHeight="1">
      <c r="A512" s="8"/>
      <c r="B512" s="8"/>
      <c r="C512" s="8"/>
      <c r="D512" s="9"/>
      <c r="E512" s="8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</row>
    <row r="513" ht="15.75" customHeight="1">
      <c r="A513" s="8"/>
      <c r="B513" s="8"/>
      <c r="C513" s="8"/>
      <c r="D513" s="9"/>
      <c r="E513" s="8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</row>
    <row r="514" ht="15.75" customHeight="1">
      <c r="A514" s="8"/>
      <c r="B514" s="8"/>
      <c r="C514" s="8"/>
      <c r="D514" s="9"/>
      <c r="E514" s="8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</row>
    <row r="515" ht="15.75" customHeight="1">
      <c r="A515" s="8"/>
      <c r="B515" s="8"/>
      <c r="C515" s="8"/>
      <c r="D515" s="9"/>
      <c r="E515" s="8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</row>
    <row r="516" ht="15.75" customHeight="1">
      <c r="A516" s="8"/>
      <c r="B516" s="8"/>
      <c r="C516" s="8"/>
      <c r="D516" s="9"/>
      <c r="E516" s="8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</row>
    <row r="517" ht="15.75" customHeight="1">
      <c r="A517" s="8"/>
      <c r="B517" s="8"/>
      <c r="C517" s="8"/>
      <c r="D517" s="9"/>
      <c r="E517" s="8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</row>
    <row r="518" ht="15.75" customHeight="1">
      <c r="A518" s="8"/>
      <c r="B518" s="8"/>
      <c r="C518" s="8"/>
      <c r="D518" s="9"/>
      <c r="E518" s="8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</row>
    <row r="519" ht="15.75" customHeight="1">
      <c r="A519" s="8"/>
      <c r="B519" s="8"/>
      <c r="C519" s="8"/>
      <c r="D519" s="9"/>
      <c r="E519" s="8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</row>
    <row r="520" ht="15.75" customHeight="1">
      <c r="A520" s="8"/>
      <c r="B520" s="8"/>
      <c r="C520" s="8"/>
      <c r="D520" s="9"/>
      <c r="E520" s="8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</row>
    <row r="521" ht="15.75" customHeight="1">
      <c r="A521" s="8"/>
      <c r="B521" s="8"/>
      <c r="C521" s="8"/>
      <c r="D521" s="9"/>
      <c r="E521" s="8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</row>
    <row r="522" ht="15.75" customHeight="1">
      <c r="A522" s="8"/>
      <c r="B522" s="8"/>
      <c r="C522" s="8"/>
      <c r="D522" s="9"/>
      <c r="E522" s="8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</row>
    <row r="523" ht="15.75" customHeight="1">
      <c r="A523" s="8"/>
      <c r="B523" s="8"/>
      <c r="C523" s="8"/>
      <c r="D523" s="9"/>
      <c r="E523" s="8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</row>
    <row r="524" ht="15.75" customHeight="1">
      <c r="A524" s="8"/>
      <c r="B524" s="8"/>
      <c r="C524" s="8"/>
      <c r="D524" s="9"/>
      <c r="E524" s="8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</row>
    <row r="525" ht="15.75" customHeight="1">
      <c r="A525" s="8"/>
      <c r="B525" s="8"/>
      <c r="C525" s="8"/>
      <c r="D525" s="9"/>
      <c r="E525" s="8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</row>
    <row r="526" ht="15.75" customHeight="1">
      <c r="A526" s="8"/>
      <c r="B526" s="8"/>
      <c r="C526" s="8"/>
      <c r="D526" s="9"/>
      <c r="E526" s="8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</row>
    <row r="527" ht="15.75" customHeight="1">
      <c r="A527" s="8"/>
      <c r="B527" s="8"/>
      <c r="C527" s="8"/>
      <c r="D527" s="9"/>
      <c r="E527" s="8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</row>
    <row r="528" ht="15.75" customHeight="1">
      <c r="A528" s="8"/>
      <c r="B528" s="8"/>
      <c r="C528" s="8"/>
      <c r="D528" s="9"/>
      <c r="E528" s="8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</row>
    <row r="529" ht="15.75" customHeight="1">
      <c r="A529" s="8"/>
      <c r="B529" s="8"/>
      <c r="C529" s="8"/>
      <c r="D529" s="9"/>
      <c r="E529" s="8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</row>
    <row r="530" ht="15.75" customHeight="1">
      <c r="A530" s="8"/>
      <c r="B530" s="8"/>
      <c r="C530" s="8"/>
      <c r="D530" s="9"/>
      <c r="E530" s="8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</row>
    <row r="531" ht="15.75" customHeight="1">
      <c r="A531" s="8"/>
      <c r="B531" s="8"/>
      <c r="C531" s="8"/>
      <c r="D531" s="9"/>
      <c r="E531" s="8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</row>
    <row r="532" ht="15.75" customHeight="1">
      <c r="A532" s="8"/>
      <c r="B532" s="8"/>
      <c r="C532" s="8"/>
      <c r="D532" s="9"/>
      <c r="E532" s="8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</row>
    <row r="533" ht="15.75" customHeight="1">
      <c r="A533" s="8"/>
      <c r="B533" s="8"/>
      <c r="C533" s="8"/>
      <c r="D533" s="9"/>
      <c r="E533" s="8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</row>
    <row r="534" ht="15.75" customHeight="1">
      <c r="A534" s="8"/>
      <c r="B534" s="8"/>
      <c r="C534" s="8"/>
      <c r="D534" s="9"/>
      <c r="E534" s="8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</row>
    <row r="535" ht="15.75" customHeight="1">
      <c r="A535" s="8"/>
      <c r="B535" s="8"/>
      <c r="C535" s="8"/>
      <c r="D535" s="9"/>
      <c r="E535" s="8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</row>
    <row r="536" ht="15.75" customHeight="1">
      <c r="A536" s="8"/>
      <c r="B536" s="8"/>
      <c r="C536" s="8"/>
      <c r="D536" s="9"/>
      <c r="E536" s="8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</row>
    <row r="537" ht="15.75" customHeight="1">
      <c r="A537" s="8"/>
      <c r="B537" s="8"/>
      <c r="C537" s="8"/>
      <c r="D537" s="9"/>
      <c r="E537" s="8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</row>
    <row r="538" ht="15.75" customHeight="1">
      <c r="A538" s="8"/>
      <c r="B538" s="8"/>
      <c r="C538" s="8"/>
      <c r="D538" s="9"/>
      <c r="E538" s="8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</row>
    <row r="539" ht="15.75" customHeight="1">
      <c r="A539" s="8"/>
      <c r="B539" s="8"/>
      <c r="C539" s="8"/>
      <c r="D539" s="9"/>
      <c r="E539" s="8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</row>
    <row r="540" ht="15.75" customHeight="1">
      <c r="A540" s="8"/>
      <c r="B540" s="8"/>
      <c r="C540" s="8"/>
      <c r="D540" s="9"/>
      <c r="E540" s="8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</row>
    <row r="541" ht="15.75" customHeight="1">
      <c r="A541" s="8"/>
      <c r="B541" s="8"/>
      <c r="C541" s="8"/>
      <c r="D541" s="9"/>
      <c r="E541" s="8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</row>
    <row r="542" ht="15.75" customHeight="1">
      <c r="A542" s="8"/>
      <c r="B542" s="8"/>
      <c r="C542" s="8"/>
      <c r="D542" s="9"/>
      <c r="E542" s="8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</row>
    <row r="543" ht="15.75" customHeight="1">
      <c r="A543" s="8"/>
      <c r="B543" s="8"/>
      <c r="C543" s="8"/>
      <c r="D543" s="9"/>
      <c r="E543" s="8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</row>
    <row r="544" ht="15.75" customHeight="1">
      <c r="A544" s="8"/>
      <c r="B544" s="8"/>
      <c r="C544" s="8"/>
      <c r="D544" s="9"/>
      <c r="E544" s="8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</row>
    <row r="545" ht="15.75" customHeight="1">
      <c r="A545" s="8"/>
      <c r="B545" s="8"/>
      <c r="C545" s="8"/>
      <c r="D545" s="9"/>
      <c r="E545" s="8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</row>
    <row r="546" ht="15.75" customHeight="1">
      <c r="A546" s="8"/>
      <c r="B546" s="8"/>
      <c r="C546" s="8"/>
      <c r="D546" s="9"/>
      <c r="E546" s="8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</row>
    <row r="547" ht="15.75" customHeight="1">
      <c r="A547" s="8"/>
      <c r="B547" s="8"/>
      <c r="C547" s="8"/>
      <c r="D547" s="9"/>
      <c r="E547" s="8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</row>
    <row r="548" ht="15.75" customHeight="1">
      <c r="A548" s="8"/>
      <c r="B548" s="8"/>
      <c r="C548" s="8"/>
      <c r="D548" s="9"/>
      <c r="E548" s="8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</row>
    <row r="549" ht="15.75" customHeight="1">
      <c r="A549" s="8"/>
      <c r="B549" s="8"/>
      <c r="C549" s="8"/>
      <c r="D549" s="9"/>
      <c r="E549" s="8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</row>
    <row r="550" ht="15.75" customHeight="1">
      <c r="A550" s="8"/>
      <c r="B550" s="8"/>
      <c r="C550" s="8"/>
      <c r="D550" s="9"/>
      <c r="E550" s="8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</row>
    <row r="551" ht="15.75" customHeight="1">
      <c r="A551" s="8"/>
      <c r="B551" s="8"/>
      <c r="C551" s="8"/>
      <c r="D551" s="9"/>
      <c r="E551" s="8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</row>
    <row r="552" ht="15.75" customHeight="1">
      <c r="A552" s="8"/>
      <c r="B552" s="8"/>
      <c r="C552" s="8"/>
      <c r="D552" s="9"/>
      <c r="E552" s="8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</row>
    <row r="553" ht="15.75" customHeight="1">
      <c r="A553" s="8"/>
      <c r="B553" s="8"/>
      <c r="C553" s="8"/>
      <c r="D553" s="9"/>
      <c r="E553" s="8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</row>
    <row r="554" ht="15.75" customHeight="1">
      <c r="A554" s="8"/>
      <c r="B554" s="8"/>
      <c r="C554" s="8"/>
      <c r="D554" s="9"/>
      <c r="E554" s="8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</row>
    <row r="555" ht="15.75" customHeight="1">
      <c r="A555" s="8"/>
      <c r="B555" s="8"/>
      <c r="C555" s="8"/>
      <c r="D555" s="9"/>
      <c r="E555" s="8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</row>
    <row r="556" ht="15.75" customHeight="1">
      <c r="A556" s="8"/>
      <c r="B556" s="8"/>
      <c r="C556" s="8"/>
      <c r="D556" s="9"/>
      <c r="E556" s="8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</row>
    <row r="557" ht="15.75" customHeight="1">
      <c r="A557" s="8"/>
      <c r="B557" s="8"/>
      <c r="C557" s="8"/>
      <c r="D557" s="9"/>
      <c r="E557" s="8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</row>
    <row r="558" ht="15.75" customHeight="1">
      <c r="A558" s="8"/>
      <c r="B558" s="8"/>
      <c r="C558" s="8"/>
      <c r="D558" s="9"/>
      <c r="E558" s="8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</row>
    <row r="559" ht="15.75" customHeight="1">
      <c r="A559" s="8"/>
      <c r="B559" s="8"/>
      <c r="C559" s="8"/>
      <c r="D559" s="9"/>
      <c r="E559" s="8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</row>
    <row r="560" ht="15.75" customHeight="1">
      <c r="A560" s="8"/>
      <c r="B560" s="8"/>
      <c r="C560" s="8"/>
      <c r="D560" s="9"/>
      <c r="E560" s="8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</row>
    <row r="561" ht="15.75" customHeight="1">
      <c r="A561" s="8"/>
      <c r="B561" s="8"/>
      <c r="C561" s="8"/>
      <c r="D561" s="9"/>
      <c r="E561" s="8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</row>
    <row r="562" ht="15.75" customHeight="1">
      <c r="A562" s="8"/>
      <c r="B562" s="8"/>
      <c r="C562" s="8"/>
      <c r="D562" s="9"/>
      <c r="E562" s="8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</row>
    <row r="563" ht="15.75" customHeight="1">
      <c r="A563" s="8"/>
      <c r="B563" s="8"/>
      <c r="C563" s="8"/>
      <c r="D563" s="9"/>
      <c r="E563" s="8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</row>
    <row r="564" ht="15.75" customHeight="1">
      <c r="A564" s="8"/>
      <c r="B564" s="8"/>
      <c r="C564" s="8"/>
      <c r="D564" s="9"/>
      <c r="E564" s="8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</row>
    <row r="565" ht="15.75" customHeight="1">
      <c r="A565" s="8"/>
      <c r="B565" s="8"/>
      <c r="C565" s="8"/>
      <c r="D565" s="9"/>
      <c r="E565" s="8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</row>
    <row r="566" ht="15.75" customHeight="1">
      <c r="A566" s="8"/>
      <c r="B566" s="8"/>
      <c r="C566" s="8"/>
      <c r="D566" s="9"/>
      <c r="E566" s="8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</row>
    <row r="567" ht="15.75" customHeight="1">
      <c r="A567" s="8"/>
      <c r="B567" s="8"/>
      <c r="C567" s="8"/>
      <c r="D567" s="9"/>
      <c r="E567" s="8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</row>
    <row r="568" ht="15.75" customHeight="1">
      <c r="A568" s="8"/>
      <c r="B568" s="8"/>
      <c r="C568" s="8"/>
      <c r="D568" s="9"/>
      <c r="E568" s="8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</row>
    <row r="569" ht="15.75" customHeight="1">
      <c r="A569" s="8"/>
      <c r="B569" s="8"/>
      <c r="C569" s="8"/>
      <c r="D569" s="9"/>
      <c r="E569" s="8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</row>
    <row r="570" ht="15.75" customHeight="1">
      <c r="A570" s="8"/>
      <c r="B570" s="8"/>
      <c r="C570" s="8"/>
      <c r="D570" s="9"/>
      <c r="E570" s="8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</row>
    <row r="571" ht="15.75" customHeight="1">
      <c r="A571" s="8"/>
      <c r="B571" s="8"/>
      <c r="C571" s="8"/>
      <c r="D571" s="9"/>
      <c r="E571" s="8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</row>
    <row r="572" ht="15.75" customHeight="1">
      <c r="A572" s="8"/>
      <c r="B572" s="8"/>
      <c r="C572" s="8"/>
      <c r="D572" s="9"/>
      <c r="E572" s="8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</row>
    <row r="573" ht="15.75" customHeight="1">
      <c r="A573" s="8"/>
      <c r="B573" s="8"/>
      <c r="C573" s="8"/>
      <c r="D573" s="9"/>
      <c r="E573" s="8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</row>
    <row r="574" ht="15.75" customHeight="1">
      <c r="A574" s="8"/>
      <c r="B574" s="8"/>
      <c r="C574" s="8"/>
      <c r="D574" s="9"/>
      <c r="E574" s="8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</row>
    <row r="575" ht="15.75" customHeight="1">
      <c r="A575" s="8"/>
      <c r="B575" s="8"/>
      <c r="C575" s="8"/>
      <c r="D575" s="9"/>
      <c r="E575" s="8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</row>
    <row r="576" ht="15.75" customHeight="1">
      <c r="A576" s="8"/>
      <c r="B576" s="8"/>
      <c r="C576" s="8"/>
      <c r="D576" s="9"/>
      <c r="E576" s="8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</row>
    <row r="577" ht="15.75" customHeight="1">
      <c r="A577" s="8"/>
      <c r="B577" s="8"/>
      <c r="C577" s="8"/>
      <c r="D577" s="9"/>
      <c r="E577" s="8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</row>
    <row r="578" ht="15.75" customHeight="1">
      <c r="A578" s="8"/>
      <c r="B578" s="8"/>
      <c r="C578" s="8"/>
      <c r="D578" s="9"/>
      <c r="E578" s="8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</row>
    <row r="579" ht="15.75" customHeight="1">
      <c r="A579" s="8"/>
      <c r="B579" s="8"/>
      <c r="C579" s="8"/>
      <c r="D579" s="9"/>
      <c r="E579" s="8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</row>
    <row r="580" ht="15.75" customHeight="1">
      <c r="A580" s="8"/>
      <c r="B580" s="8"/>
      <c r="C580" s="8"/>
      <c r="D580" s="9"/>
      <c r="E580" s="8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</row>
    <row r="581" ht="15.75" customHeight="1">
      <c r="A581" s="8"/>
      <c r="B581" s="8"/>
      <c r="C581" s="8"/>
      <c r="D581" s="9"/>
      <c r="E581" s="8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</row>
    <row r="582" ht="15.75" customHeight="1">
      <c r="A582" s="8"/>
      <c r="B582" s="8"/>
      <c r="C582" s="8"/>
      <c r="D582" s="9"/>
      <c r="E582" s="8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</row>
    <row r="583" ht="15.75" customHeight="1">
      <c r="A583" s="8"/>
      <c r="B583" s="8"/>
      <c r="C583" s="8"/>
      <c r="D583" s="9"/>
      <c r="E583" s="8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</row>
    <row r="584" ht="15.75" customHeight="1">
      <c r="A584" s="8"/>
      <c r="B584" s="8"/>
      <c r="C584" s="8"/>
      <c r="D584" s="9"/>
      <c r="E584" s="8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</row>
    <row r="585" ht="15.75" customHeight="1">
      <c r="A585" s="8"/>
      <c r="B585" s="8"/>
      <c r="C585" s="8"/>
      <c r="D585" s="9"/>
      <c r="E585" s="8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</row>
    <row r="586" ht="15.75" customHeight="1">
      <c r="A586" s="8"/>
      <c r="B586" s="8"/>
      <c r="C586" s="8"/>
      <c r="D586" s="9"/>
      <c r="E586" s="8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</row>
    <row r="587" ht="15.75" customHeight="1">
      <c r="A587" s="8"/>
      <c r="B587" s="8"/>
      <c r="C587" s="8"/>
      <c r="D587" s="9"/>
      <c r="E587" s="8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</row>
    <row r="588" ht="15.75" customHeight="1">
      <c r="A588" s="8"/>
      <c r="B588" s="8"/>
      <c r="C588" s="8"/>
      <c r="D588" s="9"/>
      <c r="E588" s="8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</row>
    <row r="589" ht="15.75" customHeight="1">
      <c r="A589" s="8"/>
      <c r="B589" s="8"/>
      <c r="C589" s="8"/>
      <c r="D589" s="9"/>
      <c r="E589" s="8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</row>
    <row r="590" ht="15.75" customHeight="1">
      <c r="A590" s="8"/>
      <c r="B590" s="8"/>
      <c r="C590" s="8"/>
      <c r="D590" s="9"/>
      <c r="E590" s="8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</row>
    <row r="591" ht="15.75" customHeight="1">
      <c r="A591" s="8"/>
      <c r="B591" s="8"/>
      <c r="C591" s="8"/>
      <c r="D591" s="9"/>
      <c r="E591" s="8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</row>
    <row r="592" ht="15.75" customHeight="1">
      <c r="A592" s="8"/>
      <c r="B592" s="8"/>
      <c r="C592" s="8"/>
      <c r="D592" s="9"/>
      <c r="E592" s="8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</row>
    <row r="593" ht="15.75" customHeight="1">
      <c r="A593" s="8"/>
      <c r="B593" s="8"/>
      <c r="C593" s="8"/>
      <c r="D593" s="9"/>
      <c r="E593" s="8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</row>
    <row r="594" ht="15.75" customHeight="1">
      <c r="A594" s="8"/>
      <c r="B594" s="8"/>
      <c r="C594" s="8"/>
      <c r="D594" s="9"/>
      <c r="E594" s="8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</row>
    <row r="595" ht="15.75" customHeight="1">
      <c r="A595" s="8"/>
      <c r="B595" s="8"/>
      <c r="C595" s="8"/>
      <c r="D595" s="9"/>
      <c r="E595" s="8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</row>
    <row r="596" ht="15.75" customHeight="1">
      <c r="A596" s="8"/>
      <c r="B596" s="8"/>
      <c r="C596" s="8"/>
      <c r="D596" s="9"/>
      <c r="E596" s="8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</row>
    <row r="597" ht="15.75" customHeight="1">
      <c r="A597" s="8"/>
      <c r="B597" s="8"/>
      <c r="C597" s="8"/>
      <c r="D597" s="9"/>
      <c r="E597" s="8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</row>
    <row r="598" ht="15.75" customHeight="1">
      <c r="A598" s="8"/>
      <c r="B598" s="8"/>
      <c r="C598" s="8"/>
      <c r="D598" s="9"/>
      <c r="E598" s="8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</row>
    <row r="599" ht="15.75" customHeight="1">
      <c r="A599" s="8"/>
      <c r="B599" s="8"/>
      <c r="C599" s="8"/>
      <c r="D599" s="9"/>
      <c r="E599" s="8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</row>
    <row r="600" ht="15.75" customHeight="1">
      <c r="A600" s="8"/>
      <c r="B600" s="8"/>
      <c r="C600" s="8"/>
      <c r="D600" s="9"/>
      <c r="E600" s="8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</row>
    <row r="601" ht="15.75" customHeight="1">
      <c r="A601" s="8"/>
      <c r="B601" s="8"/>
      <c r="C601" s="8"/>
      <c r="D601" s="9"/>
      <c r="E601" s="8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</row>
    <row r="602" ht="15.75" customHeight="1">
      <c r="A602" s="8"/>
      <c r="B602" s="8"/>
      <c r="C602" s="8"/>
      <c r="D602" s="9"/>
      <c r="E602" s="8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</row>
    <row r="603" ht="15.75" customHeight="1">
      <c r="A603" s="8"/>
      <c r="B603" s="8"/>
      <c r="C603" s="8"/>
      <c r="D603" s="9"/>
      <c r="E603" s="8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</row>
    <row r="604" ht="15.75" customHeight="1">
      <c r="A604" s="8"/>
      <c r="B604" s="8"/>
      <c r="C604" s="8"/>
      <c r="D604" s="9"/>
      <c r="E604" s="8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</row>
    <row r="605" ht="15.75" customHeight="1">
      <c r="A605" s="8"/>
      <c r="B605" s="8"/>
      <c r="C605" s="8"/>
      <c r="D605" s="9"/>
      <c r="E605" s="8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</row>
    <row r="606" ht="15.75" customHeight="1">
      <c r="A606" s="8"/>
      <c r="B606" s="8"/>
      <c r="C606" s="8"/>
      <c r="D606" s="9"/>
      <c r="E606" s="8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</row>
    <row r="607" ht="15.75" customHeight="1">
      <c r="A607" s="8"/>
      <c r="B607" s="8"/>
      <c r="C607" s="8"/>
      <c r="D607" s="9"/>
      <c r="E607" s="8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</row>
    <row r="608" ht="15.75" customHeight="1">
      <c r="A608" s="8"/>
      <c r="B608" s="8"/>
      <c r="C608" s="8"/>
      <c r="D608" s="9"/>
      <c r="E608" s="8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</row>
    <row r="609" ht="15.75" customHeight="1">
      <c r="A609" s="8"/>
      <c r="B609" s="8"/>
      <c r="C609" s="8"/>
      <c r="D609" s="9"/>
      <c r="E609" s="8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</row>
    <row r="610" ht="15.75" customHeight="1">
      <c r="A610" s="8"/>
      <c r="B610" s="8"/>
      <c r="C610" s="8"/>
      <c r="D610" s="9"/>
      <c r="E610" s="8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</row>
    <row r="611" ht="15.75" customHeight="1">
      <c r="A611" s="8"/>
      <c r="B611" s="8"/>
      <c r="C611" s="8"/>
      <c r="D611" s="9"/>
      <c r="E611" s="8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</row>
    <row r="612" ht="15.75" customHeight="1">
      <c r="A612" s="8"/>
      <c r="B612" s="8"/>
      <c r="C612" s="8"/>
      <c r="D612" s="9"/>
      <c r="E612" s="8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</row>
    <row r="613" ht="15.75" customHeight="1">
      <c r="A613" s="8"/>
      <c r="B613" s="8"/>
      <c r="C613" s="8"/>
      <c r="D613" s="9"/>
      <c r="E613" s="8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</row>
    <row r="614" ht="15.75" customHeight="1">
      <c r="A614" s="8"/>
      <c r="B614" s="8"/>
      <c r="C614" s="8"/>
      <c r="D614" s="9"/>
      <c r="E614" s="8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</row>
    <row r="615" ht="15.75" customHeight="1">
      <c r="A615" s="8"/>
      <c r="B615" s="8"/>
      <c r="C615" s="8"/>
      <c r="D615" s="9"/>
      <c r="E615" s="8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</row>
    <row r="616" ht="15.75" customHeight="1">
      <c r="A616" s="8"/>
      <c r="B616" s="8"/>
      <c r="C616" s="8"/>
      <c r="D616" s="9"/>
      <c r="E616" s="8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</row>
    <row r="617" ht="15.75" customHeight="1">
      <c r="A617" s="8"/>
      <c r="B617" s="8"/>
      <c r="C617" s="8"/>
      <c r="D617" s="9"/>
      <c r="E617" s="8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</row>
    <row r="618" ht="15.75" customHeight="1">
      <c r="A618" s="8"/>
      <c r="B618" s="8"/>
      <c r="C618" s="8"/>
      <c r="D618" s="9"/>
      <c r="E618" s="8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</row>
    <row r="619" ht="15.75" customHeight="1">
      <c r="A619" s="8"/>
      <c r="B619" s="8"/>
      <c r="C619" s="8"/>
      <c r="D619" s="9"/>
      <c r="E619" s="8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</row>
    <row r="620" ht="15.75" customHeight="1">
      <c r="A620" s="8"/>
      <c r="B620" s="8"/>
      <c r="C620" s="8"/>
      <c r="D620" s="9"/>
      <c r="E620" s="8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</row>
    <row r="621" ht="15.75" customHeight="1">
      <c r="A621" s="8"/>
      <c r="B621" s="8"/>
      <c r="C621" s="8"/>
      <c r="D621" s="9"/>
      <c r="E621" s="8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</row>
    <row r="622" ht="15.75" customHeight="1">
      <c r="A622" s="8"/>
      <c r="B622" s="8"/>
      <c r="C622" s="8"/>
      <c r="D622" s="9"/>
      <c r="E622" s="8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</row>
    <row r="623" ht="15.75" customHeight="1">
      <c r="A623" s="8"/>
      <c r="B623" s="8"/>
      <c r="C623" s="8"/>
      <c r="D623" s="9"/>
      <c r="E623" s="8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</row>
    <row r="624" ht="15.75" customHeight="1">
      <c r="A624" s="8"/>
      <c r="B624" s="8"/>
      <c r="C624" s="8"/>
      <c r="D624" s="9"/>
      <c r="E624" s="8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</row>
    <row r="625" ht="15.75" customHeight="1">
      <c r="A625" s="8"/>
      <c r="B625" s="8"/>
      <c r="C625" s="8"/>
      <c r="D625" s="9"/>
      <c r="E625" s="8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</row>
    <row r="626" ht="15.75" customHeight="1">
      <c r="A626" s="8"/>
      <c r="B626" s="8"/>
      <c r="C626" s="8"/>
      <c r="D626" s="9"/>
      <c r="E626" s="8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</row>
    <row r="627" ht="15.75" customHeight="1">
      <c r="A627" s="8"/>
      <c r="B627" s="8"/>
      <c r="C627" s="8"/>
      <c r="D627" s="9"/>
      <c r="E627" s="8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</row>
    <row r="628" ht="15.75" customHeight="1">
      <c r="A628" s="8"/>
      <c r="B628" s="8"/>
      <c r="C628" s="8"/>
      <c r="D628" s="9"/>
      <c r="E628" s="8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</row>
    <row r="629" ht="15.75" customHeight="1">
      <c r="A629" s="8"/>
      <c r="B629" s="8"/>
      <c r="C629" s="8"/>
      <c r="D629" s="9"/>
      <c r="E629" s="8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</row>
    <row r="630" ht="15.75" customHeight="1">
      <c r="A630" s="8"/>
      <c r="B630" s="8"/>
      <c r="C630" s="8"/>
      <c r="D630" s="9"/>
      <c r="E630" s="8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</row>
    <row r="631" ht="15.75" customHeight="1">
      <c r="A631" s="8"/>
      <c r="B631" s="8"/>
      <c r="C631" s="8"/>
      <c r="D631" s="9"/>
      <c r="E631" s="8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</row>
    <row r="632" ht="15.75" customHeight="1">
      <c r="A632" s="8"/>
      <c r="B632" s="8"/>
      <c r="C632" s="8"/>
      <c r="D632" s="9"/>
      <c r="E632" s="8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</row>
    <row r="633" ht="15.75" customHeight="1">
      <c r="A633" s="8"/>
      <c r="B633" s="8"/>
      <c r="C633" s="8"/>
      <c r="D633" s="9"/>
      <c r="E633" s="8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</row>
    <row r="634" ht="15.75" customHeight="1">
      <c r="A634" s="8"/>
      <c r="B634" s="8"/>
      <c r="C634" s="8"/>
      <c r="D634" s="9"/>
      <c r="E634" s="8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</row>
    <row r="635" ht="15.75" customHeight="1">
      <c r="A635" s="8"/>
      <c r="B635" s="8"/>
      <c r="C635" s="8"/>
      <c r="D635" s="9"/>
      <c r="E635" s="8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</row>
    <row r="636" ht="15.75" customHeight="1">
      <c r="A636" s="8"/>
      <c r="B636" s="8"/>
      <c r="C636" s="8"/>
      <c r="D636" s="9"/>
      <c r="E636" s="8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</row>
    <row r="637" ht="15.75" customHeight="1">
      <c r="A637" s="8"/>
      <c r="B637" s="8"/>
      <c r="C637" s="8"/>
      <c r="D637" s="9"/>
      <c r="E637" s="8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</row>
    <row r="638" ht="15.75" customHeight="1">
      <c r="A638" s="8"/>
      <c r="B638" s="8"/>
      <c r="C638" s="8"/>
      <c r="D638" s="9"/>
      <c r="E638" s="8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</row>
    <row r="639" ht="15.75" customHeight="1">
      <c r="A639" s="8"/>
      <c r="B639" s="8"/>
      <c r="C639" s="8"/>
      <c r="D639" s="9"/>
      <c r="E639" s="8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</row>
    <row r="640" ht="15.75" customHeight="1">
      <c r="A640" s="8"/>
      <c r="B640" s="8"/>
      <c r="C640" s="8"/>
      <c r="D640" s="9"/>
      <c r="E640" s="8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</row>
    <row r="641" ht="15.75" customHeight="1">
      <c r="A641" s="8"/>
      <c r="B641" s="8"/>
      <c r="C641" s="8"/>
      <c r="D641" s="9"/>
      <c r="E641" s="8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</row>
    <row r="642" ht="15.75" customHeight="1">
      <c r="A642" s="8"/>
      <c r="B642" s="8"/>
      <c r="C642" s="8"/>
      <c r="D642" s="9"/>
      <c r="E642" s="8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</row>
    <row r="643" ht="15.75" customHeight="1">
      <c r="A643" s="8"/>
      <c r="B643" s="8"/>
      <c r="C643" s="8"/>
      <c r="D643" s="9"/>
      <c r="E643" s="8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</row>
    <row r="644" ht="15.75" customHeight="1">
      <c r="A644" s="8"/>
      <c r="B644" s="8"/>
      <c r="C644" s="8"/>
      <c r="D644" s="9"/>
      <c r="E644" s="8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</row>
    <row r="645" ht="15.75" customHeight="1">
      <c r="A645" s="8"/>
      <c r="B645" s="8"/>
      <c r="C645" s="8"/>
      <c r="D645" s="9"/>
      <c r="E645" s="8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</row>
    <row r="646" ht="15.75" customHeight="1">
      <c r="A646" s="8"/>
      <c r="B646" s="8"/>
      <c r="C646" s="8"/>
      <c r="D646" s="9"/>
      <c r="E646" s="8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</row>
    <row r="647" ht="15.75" customHeight="1">
      <c r="A647" s="8"/>
      <c r="B647" s="8"/>
      <c r="C647" s="8"/>
      <c r="D647" s="9"/>
      <c r="E647" s="8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</row>
    <row r="648" ht="15.75" customHeight="1">
      <c r="A648" s="8"/>
      <c r="B648" s="8"/>
      <c r="C648" s="8"/>
      <c r="D648" s="9"/>
      <c r="E648" s="8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</row>
    <row r="649" ht="15.75" customHeight="1">
      <c r="A649" s="8"/>
      <c r="B649" s="8"/>
      <c r="C649" s="8"/>
      <c r="D649" s="9"/>
      <c r="E649" s="8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</row>
    <row r="650" ht="15.75" customHeight="1">
      <c r="A650" s="8"/>
      <c r="B650" s="8"/>
      <c r="C650" s="8"/>
      <c r="D650" s="9"/>
      <c r="E650" s="8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</row>
    <row r="651" ht="15.75" customHeight="1">
      <c r="A651" s="8"/>
      <c r="B651" s="8"/>
      <c r="C651" s="8"/>
      <c r="D651" s="9"/>
      <c r="E651" s="8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</row>
    <row r="652" ht="15.75" customHeight="1">
      <c r="A652" s="8"/>
      <c r="B652" s="8"/>
      <c r="C652" s="8"/>
      <c r="D652" s="9"/>
      <c r="E652" s="8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</row>
    <row r="653" ht="15.75" customHeight="1">
      <c r="A653" s="8"/>
      <c r="B653" s="8"/>
      <c r="C653" s="8"/>
      <c r="D653" s="9"/>
      <c r="E653" s="8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</row>
    <row r="654" ht="15.75" customHeight="1">
      <c r="A654" s="8"/>
      <c r="B654" s="8"/>
      <c r="C654" s="8"/>
      <c r="D654" s="9"/>
      <c r="E654" s="8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</row>
    <row r="655" ht="15.75" customHeight="1">
      <c r="A655" s="8"/>
      <c r="B655" s="8"/>
      <c r="C655" s="8"/>
      <c r="D655" s="9"/>
      <c r="E655" s="8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</row>
    <row r="656" ht="15.75" customHeight="1">
      <c r="A656" s="8"/>
      <c r="B656" s="8"/>
      <c r="C656" s="8"/>
      <c r="D656" s="9"/>
      <c r="E656" s="8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</row>
    <row r="657" ht="15.75" customHeight="1">
      <c r="A657" s="8"/>
      <c r="B657" s="8"/>
      <c r="C657" s="8"/>
      <c r="D657" s="9"/>
      <c r="E657" s="8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</row>
    <row r="658" ht="15.75" customHeight="1">
      <c r="A658" s="8"/>
      <c r="B658" s="8"/>
      <c r="C658" s="8"/>
      <c r="D658" s="9"/>
      <c r="E658" s="8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</row>
    <row r="659" ht="15.75" customHeight="1">
      <c r="A659" s="8"/>
      <c r="B659" s="8"/>
      <c r="C659" s="8"/>
      <c r="D659" s="9"/>
      <c r="E659" s="8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</row>
    <row r="660" ht="15.75" customHeight="1">
      <c r="A660" s="8"/>
      <c r="B660" s="8"/>
      <c r="C660" s="8"/>
      <c r="D660" s="9"/>
      <c r="E660" s="8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</row>
    <row r="661" ht="15.75" customHeight="1">
      <c r="A661" s="8"/>
      <c r="B661" s="8"/>
      <c r="C661" s="8"/>
      <c r="D661" s="9"/>
      <c r="E661" s="8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</row>
    <row r="662" ht="15.75" customHeight="1">
      <c r="A662" s="8"/>
      <c r="B662" s="8"/>
      <c r="C662" s="8"/>
      <c r="D662" s="9"/>
      <c r="E662" s="8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</row>
    <row r="663" ht="15.75" customHeight="1">
      <c r="A663" s="8"/>
      <c r="B663" s="8"/>
      <c r="C663" s="8"/>
      <c r="D663" s="9"/>
      <c r="E663" s="8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</row>
    <row r="664" ht="15.75" customHeight="1">
      <c r="A664" s="8"/>
      <c r="B664" s="8"/>
      <c r="C664" s="8"/>
      <c r="D664" s="9"/>
      <c r="E664" s="8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</row>
    <row r="665" ht="15.75" customHeight="1">
      <c r="A665" s="8"/>
      <c r="B665" s="8"/>
      <c r="C665" s="8"/>
      <c r="D665" s="9"/>
      <c r="E665" s="8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</row>
    <row r="666" ht="15.75" customHeight="1">
      <c r="A666" s="8"/>
      <c r="B666" s="8"/>
      <c r="C666" s="8"/>
      <c r="D666" s="9"/>
      <c r="E666" s="8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</row>
    <row r="667" ht="15.75" customHeight="1">
      <c r="A667" s="8"/>
      <c r="B667" s="8"/>
      <c r="C667" s="8"/>
      <c r="D667" s="9"/>
      <c r="E667" s="8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</row>
    <row r="668" ht="15.75" customHeight="1">
      <c r="A668" s="8"/>
      <c r="B668" s="8"/>
      <c r="C668" s="8"/>
      <c r="D668" s="9"/>
      <c r="E668" s="8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</row>
    <row r="669" ht="15.75" customHeight="1">
      <c r="A669" s="8"/>
      <c r="B669" s="8"/>
      <c r="C669" s="8"/>
      <c r="D669" s="9"/>
      <c r="E669" s="8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</row>
    <row r="670" ht="15.75" customHeight="1">
      <c r="A670" s="8"/>
      <c r="B670" s="8"/>
      <c r="C670" s="8"/>
      <c r="D670" s="9"/>
      <c r="E670" s="8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</row>
    <row r="671" ht="15.75" customHeight="1">
      <c r="A671" s="8"/>
      <c r="B671" s="8"/>
      <c r="C671" s="8"/>
      <c r="D671" s="9"/>
      <c r="E671" s="8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</row>
    <row r="672" ht="15.75" customHeight="1">
      <c r="A672" s="8"/>
      <c r="B672" s="8"/>
      <c r="C672" s="8"/>
      <c r="D672" s="9"/>
      <c r="E672" s="8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</row>
    <row r="673" ht="15.75" customHeight="1">
      <c r="A673" s="8"/>
      <c r="B673" s="8"/>
      <c r="C673" s="8"/>
      <c r="D673" s="9"/>
      <c r="E673" s="8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</row>
    <row r="674" ht="15.75" customHeight="1">
      <c r="A674" s="8"/>
      <c r="B674" s="8"/>
      <c r="C674" s="8"/>
      <c r="D674" s="9"/>
      <c r="E674" s="8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</row>
    <row r="675" ht="15.75" customHeight="1">
      <c r="A675" s="8"/>
      <c r="B675" s="8"/>
      <c r="C675" s="8"/>
      <c r="D675" s="9"/>
      <c r="E675" s="8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</row>
    <row r="676" ht="15.75" customHeight="1">
      <c r="A676" s="8"/>
      <c r="B676" s="8"/>
      <c r="C676" s="8"/>
      <c r="D676" s="9"/>
      <c r="E676" s="8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</row>
    <row r="677" ht="15.75" customHeight="1">
      <c r="A677" s="8"/>
      <c r="B677" s="8"/>
      <c r="C677" s="8"/>
      <c r="D677" s="9"/>
      <c r="E677" s="8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</row>
    <row r="678" ht="15.75" customHeight="1">
      <c r="A678" s="8"/>
      <c r="B678" s="8"/>
      <c r="C678" s="8"/>
      <c r="D678" s="9"/>
      <c r="E678" s="8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</row>
    <row r="679" ht="15.75" customHeight="1">
      <c r="A679" s="8"/>
      <c r="B679" s="8"/>
      <c r="C679" s="8"/>
      <c r="D679" s="9"/>
      <c r="E679" s="8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</row>
    <row r="680" ht="15.75" customHeight="1">
      <c r="A680" s="8"/>
      <c r="B680" s="8"/>
      <c r="C680" s="8"/>
      <c r="D680" s="9"/>
      <c r="E680" s="8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</row>
    <row r="681" ht="15.75" customHeight="1">
      <c r="A681" s="8"/>
      <c r="B681" s="8"/>
      <c r="C681" s="8"/>
      <c r="D681" s="9"/>
      <c r="E681" s="8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</row>
    <row r="682" ht="15.75" customHeight="1">
      <c r="A682" s="8"/>
      <c r="B682" s="8"/>
      <c r="C682" s="8"/>
      <c r="D682" s="9"/>
      <c r="E682" s="8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</row>
    <row r="683" ht="15.75" customHeight="1">
      <c r="A683" s="8"/>
      <c r="B683" s="8"/>
      <c r="C683" s="8"/>
      <c r="D683" s="9"/>
      <c r="E683" s="8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</row>
    <row r="684" ht="15.75" customHeight="1">
      <c r="A684" s="8"/>
      <c r="B684" s="8"/>
      <c r="C684" s="8"/>
      <c r="D684" s="9"/>
      <c r="E684" s="8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</row>
    <row r="685" ht="15.75" customHeight="1">
      <c r="A685" s="8"/>
      <c r="B685" s="8"/>
      <c r="C685" s="8"/>
      <c r="D685" s="9"/>
      <c r="E685" s="8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</row>
    <row r="686" ht="15.75" customHeight="1">
      <c r="A686" s="8"/>
      <c r="B686" s="8"/>
      <c r="C686" s="8"/>
      <c r="D686" s="9"/>
      <c r="E686" s="8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</row>
    <row r="687" ht="15.75" customHeight="1">
      <c r="A687" s="8"/>
      <c r="B687" s="8"/>
      <c r="C687" s="8"/>
      <c r="D687" s="9"/>
      <c r="E687" s="8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</row>
    <row r="688" ht="15.75" customHeight="1">
      <c r="A688" s="8"/>
      <c r="B688" s="8"/>
      <c r="C688" s="8"/>
      <c r="D688" s="9"/>
      <c r="E688" s="8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</row>
    <row r="689" ht="15.75" customHeight="1">
      <c r="A689" s="8"/>
      <c r="B689" s="8"/>
      <c r="C689" s="8"/>
      <c r="D689" s="9"/>
      <c r="E689" s="8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</row>
    <row r="690" ht="15.75" customHeight="1">
      <c r="A690" s="8"/>
      <c r="B690" s="8"/>
      <c r="C690" s="8"/>
      <c r="D690" s="9"/>
      <c r="E690" s="8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</row>
    <row r="691" ht="15.75" customHeight="1">
      <c r="A691" s="8"/>
      <c r="B691" s="8"/>
      <c r="C691" s="8"/>
      <c r="D691" s="9"/>
      <c r="E691" s="8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</row>
    <row r="692" ht="15.75" customHeight="1">
      <c r="A692" s="8"/>
      <c r="B692" s="8"/>
      <c r="C692" s="8"/>
      <c r="D692" s="9"/>
      <c r="E692" s="8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</row>
    <row r="693" ht="15.75" customHeight="1">
      <c r="A693" s="8"/>
      <c r="B693" s="8"/>
      <c r="C693" s="8"/>
      <c r="D693" s="9"/>
      <c r="E693" s="8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</row>
    <row r="694" ht="15.75" customHeight="1">
      <c r="A694" s="8"/>
      <c r="B694" s="8"/>
      <c r="C694" s="8"/>
      <c r="D694" s="9"/>
      <c r="E694" s="8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</row>
    <row r="695" ht="15.75" customHeight="1">
      <c r="A695" s="8"/>
      <c r="B695" s="8"/>
      <c r="C695" s="8"/>
      <c r="D695" s="9"/>
      <c r="E695" s="8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</row>
    <row r="696" ht="15.75" customHeight="1">
      <c r="A696" s="8"/>
      <c r="B696" s="8"/>
      <c r="C696" s="8"/>
      <c r="D696" s="9"/>
      <c r="E696" s="8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</row>
    <row r="697" ht="15.75" customHeight="1">
      <c r="A697" s="8"/>
      <c r="B697" s="8"/>
      <c r="C697" s="8"/>
      <c r="D697" s="9"/>
      <c r="E697" s="8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</row>
    <row r="698" ht="15.75" customHeight="1">
      <c r="A698" s="8"/>
      <c r="B698" s="8"/>
      <c r="C698" s="8"/>
      <c r="D698" s="9"/>
      <c r="E698" s="8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</row>
    <row r="699" ht="15.75" customHeight="1">
      <c r="A699" s="8"/>
      <c r="B699" s="8"/>
      <c r="C699" s="8"/>
      <c r="D699" s="9"/>
      <c r="E699" s="8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</row>
    <row r="700" ht="15.75" customHeight="1">
      <c r="A700" s="8"/>
      <c r="B700" s="8"/>
      <c r="C700" s="8"/>
      <c r="D700" s="9"/>
      <c r="E700" s="8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</row>
    <row r="701" ht="15.75" customHeight="1">
      <c r="A701" s="8"/>
      <c r="B701" s="8"/>
      <c r="C701" s="8"/>
      <c r="D701" s="9"/>
      <c r="E701" s="8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</row>
    <row r="702" ht="15.75" customHeight="1">
      <c r="A702" s="8"/>
      <c r="B702" s="8"/>
      <c r="C702" s="8"/>
      <c r="D702" s="9"/>
      <c r="E702" s="8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</row>
    <row r="703" ht="15.75" customHeight="1">
      <c r="A703" s="8"/>
      <c r="B703" s="8"/>
      <c r="C703" s="8"/>
      <c r="D703" s="9"/>
      <c r="E703" s="8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</row>
    <row r="704" ht="15.75" customHeight="1">
      <c r="A704" s="8"/>
      <c r="B704" s="8"/>
      <c r="C704" s="8"/>
      <c r="D704" s="9"/>
      <c r="E704" s="8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</row>
    <row r="705" ht="15.75" customHeight="1">
      <c r="A705" s="8"/>
      <c r="B705" s="8"/>
      <c r="C705" s="8"/>
      <c r="D705" s="9"/>
      <c r="E705" s="8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</row>
    <row r="706" ht="15.75" customHeight="1">
      <c r="A706" s="8"/>
      <c r="B706" s="8"/>
      <c r="C706" s="8"/>
      <c r="D706" s="9"/>
      <c r="E706" s="8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</row>
    <row r="707" ht="15.75" customHeight="1">
      <c r="A707" s="8"/>
      <c r="B707" s="8"/>
      <c r="C707" s="8"/>
      <c r="D707" s="9"/>
      <c r="E707" s="8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</row>
    <row r="708" ht="15.75" customHeight="1">
      <c r="A708" s="8"/>
      <c r="B708" s="8"/>
      <c r="C708" s="8"/>
      <c r="D708" s="9"/>
      <c r="E708" s="8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</row>
    <row r="709" ht="15.75" customHeight="1">
      <c r="A709" s="8"/>
      <c r="B709" s="8"/>
      <c r="C709" s="8"/>
      <c r="D709" s="9"/>
      <c r="E709" s="8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</row>
    <row r="710" ht="15.75" customHeight="1">
      <c r="A710" s="8"/>
      <c r="B710" s="8"/>
      <c r="C710" s="8"/>
      <c r="D710" s="9"/>
      <c r="E710" s="8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</row>
    <row r="711" ht="15.75" customHeight="1">
      <c r="A711" s="8"/>
      <c r="B711" s="8"/>
      <c r="C711" s="8"/>
      <c r="D711" s="9"/>
      <c r="E711" s="8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</row>
    <row r="712" ht="15.75" customHeight="1">
      <c r="A712" s="8"/>
      <c r="B712" s="8"/>
      <c r="C712" s="8"/>
      <c r="D712" s="9"/>
      <c r="E712" s="8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</row>
    <row r="713" ht="15.75" customHeight="1">
      <c r="A713" s="8"/>
      <c r="B713" s="8"/>
      <c r="C713" s="8"/>
      <c r="D713" s="9"/>
      <c r="E713" s="8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</row>
    <row r="714" ht="15.75" customHeight="1">
      <c r="A714" s="8"/>
      <c r="B714" s="8"/>
      <c r="C714" s="8"/>
      <c r="D714" s="9"/>
      <c r="E714" s="8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</row>
    <row r="715" ht="15.75" customHeight="1">
      <c r="A715" s="8"/>
      <c r="B715" s="8"/>
      <c r="C715" s="8"/>
      <c r="D715" s="9"/>
      <c r="E715" s="8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</row>
    <row r="716" ht="15.75" customHeight="1">
      <c r="A716" s="8"/>
      <c r="B716" s="8"/>
      <c r="C716" s="8"/>
      <c r="D716" s="9"/>
      <c r="E716" s="8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</row>
    <row r="717" ht="15.75" customHeight="1">
      <c r="A717" s="8"/>
      <c r="B717" s="8"/>
      <c r="C717" s="8"/>
      <c r="D717" s="9"/>
      <c r="E717" s="8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</row>
    <row r="718" ht="15.75" customHeight="1">
      <c r="A718" s="8"/>
      <c r="B718" s="8"/>
      <c r="C718" s="8"/>
      <c r="D718" s="9"/>
      <c r="E718" s="8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</row>
    <row r="719" ht="15.75" customHeight="1">
      <c r="A719" s="8"/>
      <c r="B719" s="8"/>
      <c r="C719" s="8"/>
      <c r="D719" s="9"/>
      <c r="E719" s="8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</row>
    <row r="720" ht="15.75" customHeight="1">
      <c r="A720" s="8"/>
      <c r="B720" s="8"/>
      <c r="C720" s="8"/>
      <c r="D720" s="9"/>
      <c r="E720" s="8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</row>
    <row r="721" ht="15.75" customHeight="1">
      <c r="A721" s="8"/>
      <c r="B721" s="8"/>
      <c r="C721" s="8"/>
      <c r="D721" s="9"/>
      <c r="E721" s="8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</row>
    <row r="722" ht="15.75" customHeight="1">
      <c r="A722" s="8"/>
      <c r="B722" s="8"/>
      <c r="C722" s="8"/>
      <c r="D722" s="9"/>
      <c r="E722" s="8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</row>
    <row r="723" ht="15.75" customHeight="1">
      <c r="A723" s="8"/>
      <c r="B723" s="8"/>
      <c r="C723" s="8"/>
      <c r="D723" s="9"/>
      <c r="E723" s="8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</row>
    <row r="724" ht="15.75" customHeight="1">
      <c r="A724" s="8"/>
      <c r="B724" s="8"/>
      <c r="C724" s="8"/>
      <c r="D724" s="9"/>
      <c r="E724" s="8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</row>
    <row r="725" ht="15.75" customHeight="1">
      <c r="A725" s="8"/>
      <c r="B725" s="8"/>
      <c r="C725" s="8"/>
      <c r="D725" s="9"/>
      <c r="E725" s="8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</row>
    <row r="726" ht="15.75" customHeight="1">
      <c r="A726" s="8"/>
      <c r="B726" s="8"/>
      <c r="C726" s="8"/>
      <c r="D726" s="9"/>
      <c r="E726" s="8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</row>
    <row r="727" ht="15.75" customHeight="1">
      <c r="A727" s="8"/>
      <c r="B727" s="8"/>
      <c r="C727" s="8"/>
      <c r="D727" s="9"/>
      <c r="E727" s="8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</row>
    <row r="728" ht="15.75" customHeight="1">
      <c r="A728" s="8"/>
      <c r="B728" s="8"/>
      <c r="C728" s="8"/>
      <c r="D728" s="9"/>
      <c r="E728" s="8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</row>
    <row r="729" ht="15.75" customHeight="1">
      <c r="A729" s="8"/>
      <c r="B729" s="8"/>
      <c r="C729" s="8"/>
      <c r="D729" s="9"/>
      <c r="E729" s="8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</row>
    <row r="730" ht="15.75" customHeight="1">
      <c r="A730" s="8"/>
      <c r="B730" s="8"/>
      <c r="C730" s="8"/>
      <c r="D730" s="9"/>
      <c r="E730" s="8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</row>
    <row r="731" ht="15.75" customHeight="1">
      <c r="A731" s="8"/>
      <c r="B731" s="8"/>
      <c r="C731" s="8"/>
      <c r="D731" s="9"/>
      <c r="E731" s="8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</row>
    <row r="732" ht="15.75" customHeight="1">
      <c r="A732" s="8"/>
      <c r="B732" s="8"/>
      <c r="C732" s="8"/>
      <c r="D732" s="9"/>
      <c r="E732" s="8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</row>
    <row r="733" ht="15.75" customHeight="1">
      <c r="A733" s="8"/>
      <c r="B733" s="8"/>
      <c r="C733" s="8"/>
      <c r="D733" s="9"/>
      <c r="E733" s="8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</row>
    <row r="734" ht="15.75" customHeight="1">
      <c r="A734" s="8"/>
      <c r="B734" s="8"/>
      <c r="C734" s="8"/>
      <c r="D734" s="9"/>
      <c r="E734" s="8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</row>
    <row r="735" ht="15.75" customHeight="1">
      <c r="A735" s="8"/>
      <c r="B735" s="8"/>
      <c r="C735" s="8"/>
      <c r="D735" s="9"/>
      <c r="E735" s="8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</row>
    <row r="736" ht="15.75" customHeight="1">
      <c r="A736" s="8"/>
      <c r="B736" s="8"/>
      <c r="C736" s="8"/>
      <c r="D736" s="9"/>
      <c r="E736" s="8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</row>
    <row r="737" ht="15.75" customHeight="1">
      <c r="A737" s="8"/>
      <c r="B737" s="8"/>
      <c r="C737" s="8"/>
      <c r="D737" s="9"/>
      <c r="E737" s="8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</row>
    <row r="738" ht="15.75" customHeight="1">
      <c r="A738" s="8"/>
      <c r="B738" s="8"/>
      <c r="C738" s="8"/>
      <c r="D738" s="9"/>
      <c r="E738" s="8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</row>
    <row r="739" ht="15.75" customHeight="1">
      <c r="A739" s="8"/>
      <c r="B739" s="8"/>
      <c r="C739" s="8"/>
      <c r="D739" s="9"/>
      <c r="E739" s="8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</row>
    <row r="740" ht="15.75" customHeight="1">
      <c r="A740" s="8"/>
      <c r="B740" s="8"/>
      <c r="C740" s="8"/>
      <c r="D740" s="9"/>
      <c r="E740" s="8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</row>
    <row r="741" ht="15.75" customHeight="1">
      <c r="A741" s="8"/>
      <c r="B741" s="8"/>
      <c r="C741" s="8"/>
      <c r="D741" s="9"/>
      <c r="E741" s="8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</row>
    <row r="742" ht="15.75" customHeight="1">
      <c r="A742" s="8"/>
      <c r="B742" s="8"/>
      <c r="C742" s="8"/>
      <c r="D742" s="9"/>
      <c r="E742" s="8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</row>
    <row r="743" ht="15.75" customHeight="1">
      <c r="A743" s="8"/>
      <c r="B743" s="8"/>
      <c r="C743" s="8"/>
      <c r="D743" s="9"/>
      <c r="E743" s="8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</row>
    <row r="744" ht="15.75" customHeight="1">
      <c r="A744" s="8"/>
      <c r="B744" s="8"/>
      <c r="C744" s="8"/>
      <c r="D744" s="9"/>
      <c r="E744" s="8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</row>
    <row r="745" ht="15.75" customHeight="1">
      <c r="A745" s="8"/>
      <c r="B745" s="8"/>
      <c r="C745" s="8"/>
      <c r="D745" s="9"/>
      <c r="E745" s="8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</row>
    <row r="746" ht="15.75" customHeight="1">
      <c r="A746" s="8"/>
      <c r="B746" s="8"/>
      <c r="C746" s="8"/>
      <c r="D746" s="9"/>
      <c r="E746" s="8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</row>
    <row r="747" ht="15.75" customHeight="1">
      <c r="A747" s="8"/>
      <c r="B747" s="8"/>
      <c r="C747" s="8"/>
      <c r="D747" s="9"/>
      <c r="E747" s="8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</row>
    <row r="748" ht="15.75" customHeight="1">
      <c r="A748" s="8"/>
      <c r="B748" s="8"/>
      <c r="C748" s="8"/>
      <c r="D748" s="9"/>
      <c r="E748" s="8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</row>
    <row r="749" ht="15.75" customHeight="1">
      <c r="A749" s="8"/>
      <c r="B749" s="8"/>
      <c r="C749" s="8"/>
      <c r="D749" s="9"/>
      <c r="E749" s="8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</row>
    <row r="750" ht="15.75" customHeight="1">
      <c r="A750" s="8"/>
      <c r="B750" s="8"/>
      <c r="C750" s="8"/>
      <c r="D750" s="9"/>
      <c r="E750" s="8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</row>
    <row r="751" ht="15.75" customHeight="1">
      <c r="A751" s="8"/>
      <c r="B751" s="8"/>
      <c r="C751" s="8"/>
      <c r="D751" s="9"/>
      <c r="E751" s="8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</row>
    <row r="752" ht="15.75" customHeight="1">
      <c r="A752" s="8"/>
      <c r="B752" s="8"/>
      <c r="C752" s="8"/>
      <c r="D752" s="9"/>
      <c r="E752" s="8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</row>
    <row r="753" ht="15.75" customHeight="1">
      <c r="A753" s="8"/>
      <c r="B753" s="8"/>
      <c r="C753" s="8"/>
      <c r="D753" s="9"/>
      <c r="E753" s="8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</row>
    <row r="754" ht="15.75" customHeight="1">
      <c r="A754" s="8"/>
      <c r="B754" s="8"/>
      <c r="C754" s="8"/>
      <c r="D754" s="9"/>
      <c r="E754" s="8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</row>
    <row r="755" ht="15.75" customHeight="1">
      <c r="A755" s="8"/>
      <c r="B755" s="8"/>
      <c r="C755" s="8"/>
      <c r="D755" s="9"/>
      <c r="E755" s="8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</row>
    <row r="756" ht="15.75" customHeight="1">
      <c r="A756" s="8"/>
      <c r="B756" s="8"/>
      <c r="C756" s="8"/>
      <c r="D756" s="9"/>
      <c r="E756" s="8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</row>
    <row r="757" ht="15.75" customHeight="1">
      <c r="A757" s="8"/>
      <c r="B757" s="8"/>
      <c r="C757" s="8"/>
      <c r="D757" s="9"/>
      <c r="E757" s="8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</row>
    <row r="758" ht="15.75" customHeight="1">
      <c r="A758" s="8"/>
      <c r="B758" s="8"/>
      <c r="C758" s="8"/>
      <c r="D758" s="9"/>
      <c r="E758" s="8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</row>
    <row r="759" ht="15.75" customHeight="1">
      <c r="A759" s="8"/>
      <c r="B759" s="8"/>
      <c r="C759" s="8"/>
      <c r="D759" s="9"/>
      <c r="E759" s="8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</row>
    <row r="760" ht="15.75" customHeight="1">
      <c r="A760" s="8"/>
      <c r="B760" s="8"/>
      <c r="C760" s="8"/>
      <c r="D760" s="9"/>
      <c r="E760" s="8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</row>
    <row r="761" ht="15.75" customHeight="1">
      <c r="A761" s="8"/>
      <c r="B761" s="8"/>
      <c r="C761" s="8"/>
      <c r="D761" s="9"/>
      <c r="E761" s="8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</row>
    <row r="762" ht="15.75" customHeight="1">
      <c r="A762" s="8"/>
      <c r="B762" s="8"/>
      <c r="C762" s="8"/>
      <c r="D762" s="9"/>
      <c r="E762" s="8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</row>
    <row r="763" ht="15.75" customHeight="1">
      <c r="A763" s="8"/>
      <c r="B763" s="8"/>
      <c r="C763" s="8"/>
      <c r="D763" s="9"/>
      <c r="E763" s="8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</row>
    <row r="764" ht="15.75" customHeight="1">
      <c r="A764" s="8"/>
      <c r="B764" s="8"/>
      <c r="C764" s="8"/>
      <c r="D764" s="9"/>
      <c r="E764" s="8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</row>
    <row r="765" ht="15.75" customHeight="1">
      <c r="A765" s="8"/>
      <c r="B765" s="8"/>
      <c r="C765" s="8"/>
      <c r="D765" s="9"/>
      <c r="E765" s="8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</row>
    <row r="766" ht="15.75" customHeight="1">
      <c r="A766" s="8"/>
      <c r="B766" s="8"/>
      <c r="C766" s="8"/>
      <c r="D766" s="9"/>
      <c r="E766" s="8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</row>
    <row r="767" ht="15.75" customHeight="1">
      <c r="A767" s="8"/>
      <c r="B767" s="8"/>
      <c r="C767" s="8"/>
      <c r="D767" s="9"/>
      <c r="E767" s="8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</row>
    <row r="768" ht="15.75" customHeight="1">
      <c r="A768" s="8"/>
      <c r="B768" s="8"/>
      <c r="C768" s="8"/>
      <c r="D768" s="9"/>
      <c r="E768" s="8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</row>
    <row r="769" ht="15.75" customHeight="1">
      <c r="A769" s="8"/>
      <c r="B769" s="8"/>
      <c r="C769" s="8"/>
      <c r="D769" s="9"/>
      <c r="E769" s="8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</row>
    <row r="770" ht="15.75" customHeight="1">
      <c r="A770" s="8"/>
      <c r="B770" s="8"/>
      <c r="C770" s="8"/>
      <c r="D770" s="9"/>
      <c r="E770" s="8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</row>
    <row r="771" ht="15.75" customHeight="1">
      <c r="A771" s="8"/>
      <c r="B771" s="8"/>
      <c r="C771" s="8"/>
      <c r="D771" s="9"/>
      <c r="E771" s="8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</row>
    <row r="772" ht="15.75" customHeight="1">
      <c r="A772" s="8"/>
      <c r="B772" s="8"/>
      <c r="C772" s="8"/>
      <c r="D772" s="9"/>
      <c r="E772" s="8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</row>
    <row r="773" ht="15.75" customHeight="1">
      <c r="A773" s="8"/>
      <c r="B773" s="8"/>
      <c r="C773" s="8"/>
      <c r="D773" s="9"/>
      <c r="E773" s="8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</row>
    <row r="774" ht="15.75" customHeight="1">
      <c r="A774" s="8"/>
      <c r="B774" s="8"/>
      <c r="C774" s="8"/>
      <c r="D774" s="9"/>
      <c r="E774" s="8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</row>
    <row r="775" ht="15.75" customHeight="1">
      <c r="A775" s="8"/>
      <c r="B775" s="8"/>
      <c r="C775" s="8"/>
      <c r="D775" s="9"/>
      <c r="E775" s="8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</row>
    <row r="776" ht="15.75" customHeight="1">
      <c r="A776" s="8"/>
      <c r="B776" s="8"/>
      <c r="C776" s="8"/>
      <c r="D776" s="9"/>
      <c r="E776" s="8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</row>
    <row r="777" ht="15.75" customHeight="1">
      <c r="A777" s="8"/>
      <c r="B777" s="8"/>
      <c r="C777" s="8"/>
      <c r="D777" s="9"/>
      <c r="E777" s="8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</row>
    <row r="778" ht="15.75" customHeight="1">
      <c r="A778" s="8"/>
      <c r="B778" s="8"/>
      <c r="C778" s="8"/>
      <c r="D778" s="9"/>
      <c r="E778" s="8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</row>
    <row r="779" ht="15.75" customHeight="1">
      <c r="A779" s="8"/>
      <c r="B779" s="8"/>
      <c r="C779" s="8"/>
      <c r="D779" s="9"/>
      <c r="E779" s="8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</row>
    <row r="780" ht="15.75" customHeight="1">
      <c r="A780" s="8"/>
      <c r="B780" s="8"/>
      <c r="C780" s="8"/>
      <c r="D780" s="9"/>
      <c r="E780" s="8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</row>
    <row r="781" ht="15.75" customHeight="1">
      <c r="A781" s="8"/>
      <c r="B781" s="8"/>
      <c r="C781" s="8"/>
      <c r="D781" s="9"/>
      <c r="E781" s="8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</row>
    <row r="782" ht="15.75" customHeight="1">
      <c r="A782" s="8"/>
      <c r="B782" s="8"/>
      <c r="C782" s="8"/>
      <c r="D782" s="9"/>
      <c r="E782" s="8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</row>
    <row r="783" ht="15.75" customHeight="1">
      <c r="A783" s="8"/>
      <c r="B783" s="8"/>
      <c r="C783" s="8"/>
      <c r="D783" s="9"/>
      <c r="E783" s="8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</row>
    <row r="784" ht="15.75" customHeight="1">
      <c r="A784" s="8"/>
      <c r="B784" s="8"/>
      <c r="C784" s="8"/>
      <c r="D784" s="9"/>
      <c r="E784" s="8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</row>
    <row r="785" ht="15.75" customHeight="1">
      <c r="A785" s="8"/>
      <c r="B785" s="8"/>
      <c r="C785" s="8"/>
      <c r="D785" s="9"/>
      <c r="E785" s="8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</row>
    <row r="786" ht="15.75" customHeight="1">
      <c r="A786" s="8"/>
      <c r="B786" s="8"/>
      <c r="C786" s="8"/>
      <c r="D786" s="9"/>
      <c r="E786" s="8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</row>
    <row r="787" ht="15.75" customHeight="1">
      <c r="A787" s="8"/>
      <c r="B787" s="8"/>
      <c r="C787" s="8"/>
      <c r="D787" s="9"/>
      <c r="E787" s="8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</row>
    <row r="788" ht="15.75" customHeight="1">
      <c r="A788" s="8"/>
      <c r="B788" s="8"/>
      <c r="C788" s="8"/>
      <c r="D788" s="9"/>
      <c r="E788" s="8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</row>
    <row r="789" ht="15.75" customHeight="1">
      <c r="A789" s="8"/>
      <c r="B789" s="8"/>
      <c r="C789" s="8"/>
      <c r="D789" s="9"/>
      <c r="E789" s="8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</row>
    <row r="790" ht="15.75" customHeight="1">
      <c r="A790" s="8"/>
      <c r="B790" s="8"/>
      <c r="C790" s="8"/>
      <c r="D790" s="9"/>
      <c r="E790" s="8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</row>
    <row r="791" ht="15.75" customHeight="1">
      <c r="A791" s="8"/>
      <c r="B791" s="8"/>
      <c r="C791" s="8"/>
      <c r="D791" s="9"/>
      <c r="E791" s="8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</row>
    <row r="792" ht="15.75" customHeight="1">
      <c r="A792" s="8"/>
      <c r="B792" s="8"/>
      <c r="C792" s="8"/>
      <c r="D792" s="9"/>
      <c r="E792" s="8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</row>
    <row r="793" ht="15.75" customHeight="1">
      <c r="A793" s="8"/>
      <c r="B793" s="8"/>
      <c r="C793" s="8"/>
      <c r="D793" s="9"/>
      <c r="E793" s="8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</row>
    <row r="794" ht="15.75" customHeight="1">
      <c r="A794" s="8"/>
      <c r="B794" s="8"/>
      <c r="C794" s="8"/>
      <c r="D794" s="9"/>
      <c r="E794" s="8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</row>
    <row r="795" ht="15.75" customHeight="1">
      <c r="A795" s="8"/>
      <c r="B795" s="8"/>
      <c r="C795" s="8"/>
      <c r="D795" s="9"/>
      <c r="E795" s="8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</row>
    <row r="796" ht="15.75" customHeight="1">
      <c r="A796" s="8"/>
      <c r="B796" s="8"/>
      <c r="C796" s="8"/>
      <c r="D796" s="9"/>
      <c r="E796" s="8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</row>
    <row r="797" ht="15.75" customHeight="1">
      <c r="A797" s="8"/>
      <c r="B797" s="8"/>
      <c r="C797" s="8"/>
      <c r="D797" s="9"/>
      <c r="E797" s="8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</row>
    <row r="798" ht="15.75" customHeight="1">
      <c r="A798" s="8"/>
      <c r="B798" s="8"/>
      <c r="C798" s="8"/>
      <c r="D798" s="9"/>
      <c r="E798" s="8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</row>
    <row r="799" ht="15.75" customHeight="1">
      <c r="A799" s="8"/>
      <c r="B799" s="8"/>
      <c r="C799" s="8"/>
      <c r="D799" s="9"/>
      <c r="E799" s="8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</row>
    <row r="800" ht="15.75" customHeight="1">
      <c r="A800" s="8"/>
      <c r="B800" s="8"/>
      <c r="C800" s="8"/>
      <c r="D800" s="9"/>
      <c r="E800" s="8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</row>
    <row r="801" ht="15.75" customHeight="1">
      <c r="A801" s="8"/>
      <c r="B801" s="8"/>
      <c r="C801" s="8"/>
      <c r="D801" s="9"/>
      <c r="E801" s="8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</row>
    <row r="802" ht="15.75" customHeight="1">
      <c r="A802" s="8"/>
      <c r="B802" s="8"/>
      <c r="C802" s="8"/>
      <c r="D802" s="9"/>
      <c r="E802" s="8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</row>
    <row r="803" ht="15.75" customHeight="1">
      <c r="A803" s="8"/>
      <c r="B803" s="8"/>
      <c r="C803" s="8"/>
      <c r="D803" s="9"/>
      <c r="E803" s="8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</row>
    <row r="804" ht="15.75" customHeight="1">
      <c r="A804" s="8"/>
      <c r="B804" s="8"/>
      <c r="C804" s="8"/>
      <c r="D804" s="9"/>
      <c r="E804" s="8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</row>
    <row r="805" ht="15.75" customHeight="1">
      <c r="A805" s="8"/>
      <c r="B805" s="8"/>
      <c r="C805" s="8"/>
      <c r="D805" s="9"/>
      <c r="E805" s="8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</row>
    <row r="806" ht="15.75" customHeight="1">
      <c r="A806" s="8"/>
      <c r="B806" s="8"/>
      <c r="C806" s="8"/>
      <c r="D806" s="9"/>
      <c r="E806" s="8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</row>
    <row r="807" ht="15.75" customHeight="1">
      <c r="A807" s="8"/>
      <c r="B807" s="8"/>
      <c r="C807" s="8"/>
      <c r="D807" s="9"/>
      <c r="E807" s="8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</row>
    <row r="808" ht="15.75" customHeight="1">
      <c r="A808" s="8"/>
      <c r="B808" s="8"/>
      <c r="C808" s="8"/>
      <c r="D808" s="9"/>
      <c r="E808" s="8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</row>
    <row r="809" ht="15.75" customHeight="1">
      <c r="A809" s="8"/>
      <c r="B809" s="8"/>
      <c r="C809" s="8"/>
      <c r="D809" s="9"/>
      <c r="E809" s="8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</row>
    <row r="810" ht="15.75" customHeight="1">
      <c r="A810" s="8"/>
      <c r="B810" s="8"/>
      <c r="C810" s="8"/>
      <c r="D810" s="9"/>
      <c r="E810" s="8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</row>
    <row r="811" ht="15.75" customHeight="1">
      <c r="A811" s="8"/>
      <c r="B811" s="8"/>
      <c r="C811" s="8"/>
      <c r="D811" s="9"/>
      <c r="E811" s="8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</row>
    <row r="812" ht="15.75" customHeight="1">
      <c r="A812" s="8"/>
      <c r="B812" s="8"/>
      <c r="C812" s="8"/>
      <c r="D812" s="9"/>
      <c r="E812" s="8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</row>
    <row r="813" ht="15.75" customHeight="1">
      <c r="A813" s="8"/>
      <c r="B813" s="8"/>
      <c r="C813" s="8"/>
      <c r="D813" s="9"/>
      <c r="E813" s="8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</row>
    <row r="814" ht="15.75" customHeight="1">
      <c r="A814" s="8"/>
      <c r="B814" s="8"/>
      <c r="C814" s="8"/>
      <c r="D814" s="9"/>
      <c r="E814" s="8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</row>
    <row r="815" ht="15.75" customHeight="1">
      <c r="A815" s="8"/>
      <c r="B815" s="8"/>
      <c r="C815" s="8"/>
      <c r="D815" s="9"/>
      <c r="E815" s="8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</row>
    <row r="816" ht="15.75" customHeight="1">
      <c r="A816" s="8"/>
      <c r="B816" s="8"/>
      <c r="C816" s="8"/>
      <c r="D816" s="9"/>
      <c r="E816" s="8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</row>
    <row r="817" ht="15.75" customHeight="1">
      <c r="A817" s="8"/>
      <c r="B817" s="8"/>
      <c r="C817" s="8"/>
      <c r="D817" s="9"/>
      <c r="E817" s="8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</row>
    <row r="818" ht="15.75" customHeight="1">
      <c r="A818" s="8"/>
      <c r="B818" s="8"/>
      <c r="C818" s="8"/>
      <c r="D818" s="9"/>
      <c r="E818" s="8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</row>
    <row r="819" ht="15.75" customHeight="1">
      <c r="A819" s="8"/>
      <c r="B819" s="8"/>
      <c r="C819" s="8"/>
      <c r="D819" s="9"/>
      <c r="E819" s="8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</row>
    <row r="820" ht="15.75" customHeight="1">
      <c r="A820" s="8"/>
      <c r="B820" s="8"/>
      <c r="C820" s="8"/>
      <c r="D820" s="9"/>
      <c r="E820" s="8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</row>
    <row r="821" ht="15.75" customHeight="1">
      <c r="A821" s="8"/>
      <c r="B821" s="8"/>
      <c r="C821" s="8"/>
      <c r="D821" s="9"/>
      <c r="E821" s="8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</row>
    <row r="822" ht="15.75" customHeight="1">
      <c r="A822" s="8"/>
      <c r="B822" s="8"/>
      <c r="C822" s="8"/>
      <c r="D822" s="9"/>
      <c r="E822" s="8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</row>
    <row r="823" ht="15.75" customHeight="1">
      <c r="A823" s="8"/>
      <c r="B823" s="8"/>
      <c r="C823" s="8"/>
      <c r="D823" s="9"/>
      <c r="E823" s="8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</row>
    <row r="824" ht="15.75" customHeight="1">
      <c r="A824" s="8"/>
      <c r="B824" s="8"/>
      <c r="C824" s="8"/>
      <c r="D824" s="9"/>
      <c r="E824" s="8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</row>
    <row r="825" ht="15.75" customHeight="1">
      <c r="A825" s="8"/>
      <c r="B825" s="8"/>
      <c r="C825" s="8"/>
      <c r="D825" s="9"/>
      <c r="E825" s="8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</row>
    <row r="826" ht="15.75" customHeight="1">
      <c r="A826" s="8"/>
      <c r="B826" s="8"/>
      <c r="C826" s="8"/>
      <c r="D826" s="9"/>
      <c r="E826" s="8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</row>
    <row r="827" ht="15.75" customHeight="1">
      <c r="A827" s="8"/>
      <c r="B827" s="8"/>
      <c r="C827" s="8"/>
      <c r="D827" s="9"/>
      <c r="E827" s="8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</row>
    <row r="828" ht="15.75" customHeight="1">
      <c r="A828" s="8"/>
      <c r="B828" s="8"/>
      <c r="C828" s="8"/>
      <c r="D828" s="9"/>
      <c r="E828" s="8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</row>
    <row r="829" ht="15.75" customHeight="1">
      <c r="A829" s="8"/>
      <c r="B829" s="8"/>
      <c r="C829" s="8"/>
      <c r="D829" s="9"/>
      <c r="E829" s="8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</row>
    <row r="830" ht="15.75" customHeight="1">
      <c r="A830" s="8"/>
      <c r="B830" s="8"/>
      <c r="C830" s="8"/>
      <c r="D830" s="9"/>
      <c r="E830" s="8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</row>
    <row r="831" ht="15.75" customHeight="1">
      <c r="A831" s="8"/>
      <c r="B831" s="8"/>
      <c r="C831" s="8"/>
      <c r="D831" s="9"/>
      <c r="E831" s="8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</row>
    <row r="832" ht="15.75" customHeight="1">
      <c r="A832" s="8"/>
      <c r="B832" s="8"/>
      <c r="C832" s="8"/>
      <c r="D832" s="9"/>
      <c r="E832" s="8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</row>
    <row r="833" ht="15.75" customHeight="1">
      <c r="A833" s="8"/>
      <c r="B833" s="8"/>
      <c r="C833" s="8"/>
      <c r="D833" s="9"/>
      <c r="E833" s="8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</row>
    <row r="834" ht="15.75" customHeight="1">
      <c r="A834" s="8"/>
      <c r="B834" s="8"/>
      <c r="C834" s="8"/>
      <c r="D834" s="9"/>
      <c r="E834" s="8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</row>
    <row r="835" ht="15.75" customHeight="1">
      <c r="A835" s="8"/>
      <c r="B835" s="8"/>
      <c r="C835" s="8"/>
      <c r="D835" s="9"/>
      <c r="E835" s="8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</row>
    <row r="836" ht="15.75" customHeight="1">
      <c r="A836" s="8"/>
      <c r="B836" s="8"/>
      <c r="C836" s="8"/>
      <c r="D836" s="9"/>
      <c r="E836" s="8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</row>
    <row r="837" ht="15.75" customHeight="1">
      <c r="A837" s="8"/>
      <c r="B837" s="8"/>
      <c r="C837" s="8"/>
      <c r="D837" s="9"/>
      <c r="E837" s="8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</row>
    <row r="838" ht="15.75" customHeight="1">
      <c r="A838" s="8"/>
      <c r="B838" s="8"/>
      <c r="C838" s="8"/>
      <c r="D838" s="9"/>
      <c r="E838" s="8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</row>
    <row r="839" ht="15.75" customHeight="1">
      <c r="A839" s="8"/>
      <c r="B839" s="8"/>
      <c r="C839" s="8"/>
      <c r="D839" s="9"/>
      <c r="E839" s="8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</row>
    <row r="840" ht="15.75" customHeight="1">
      <c r="A840" s="8"/>
      <c r="B840" s="8"/>
      <c r="C840" s="8"/>
      <c r="D840" s="9"/>
      <c r="E840" s="8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</row>
    <row r="841" ht="15.75" customHeight="1">
      <c r="A841" s="8"/>
      <c r="B841" s="8"/>
      <c r="C841" s="8"/>
      <c r="D841" s="9"/>
      <c r="E841" s="8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</row>
    <row r="842" ht="15.75" customHeight="1">
      <c r="A842" s="8"/>
      <c r="B842" s="8"/>
      <c r="C842" s="8"/>
      <c r="D842" s="9"/>
      <c r="E842" s="8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</row>
    <row r="843" ht="15.75" customHeight="1">
      <c r="A843" s="8"/>
      <c r="B843" s="8"/>
      <c r="C843" s="8"/>
      <c r="D843" s="9"/>
      <c r="E843" s="8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</row>
    <row r="844" ht="15.75" customHeight="1">
      <c r="A844" s="8"/>
      <c r="B844" s="8"/>
      <c r="C844" s="8"/>
      <c r="D844" s="9"/>
      <c r="E844" s="8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</row>
    <row r="845" ht="15.75" customHeight="1">
      <c r="A845" s="8"/>
      <c r="B845" s="8"/>
      <c r="C845" s="8"/>
      <c r="D845" s="9"/>
      <c r="E845" s="8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</row>
    <row r="846" ht="15.75" customHeight="1">
      <c r="A846" s="8"/>
      <c r="B846" s="8"/>
      <c r="C846" s="8"/>
      <c r="D846" s="9"/>
      <c r="E846" s="8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</row>
    <row r="847" ht="15.75" customHeight="1">
      <c r="A847" s="8"/>
      <c r="B847" s="8"/>
      <c r="C847" s="8"/>
      <c r="D847" s="9"/>
      <c r="E847" s="8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</row>
    <row r="848" ht="15.75" customHeight="1">
      <c r="A848" s="8"/>
      <c r="B848" s="8"/>
      <c r="C848" s="8"/>
      <c r="D848" s="9"/>
      <c r="E848" s="8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</row>
    <row r="849" ht="15.75" customHeight="1">
      <c r="A849" s="8"/>
      <c r="B849" s="8"/>
      <c r="C849" s="8"/>
      <c r="D849" s="9"/>
      <c r="E849" s="8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</row>
    <row r="850" ht="15.75" customHeight="1">
      <c r="A850" s="8"/>
      <c r="B850" s="8"/>
      <c r="C850" s="8"/>
      <c r="D850" s="9"/>
      <c r="E850" s="8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</row>
    <row r="851" ht="15.75" customHeight="1">
      <c r="A851" s="8"/>
      <c r="B851" s="8"/>
      <c r="C851" s="8"/>
      <c r="D851" s="9"/>
      <c r="E851" s="8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</row>
    <row r="852" ht="15.75" customHeight="1">
      <c r="A852" s="8"/>
      <c r="B852" s="8"/>
      <c r="C852" s="8"/>
      <c r="D852" s="9"/>
      <c r="E852" s="8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</row>
    <row r="853" ht="15.75" customHeight="1">
      <c r="A853" s="8"/>
      <c r="B853" s="8"/>
      <c r="C853" s="8"/>
      <c r="D853" s="9"/>
      <c r="E853" s="8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</row>
    <row r="854" ht="15.75" customHeight="1">
      <c r="A854" s="8"/>
      <c r="B854" s="8"/>
      <c r="C854" s="8"/>
      <c r="D854" s="9"/>
      <c r="E854" s="8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</row>
    <row r="855" ht="15.75" customHeight="1">
      <c r="A855" s="8"/>
      <c r="B855" s="8"/>
      <c r="C855" s="8"/>
      <c r="D855" s="9"/>
      <c r="E855" s="8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</row>
    <row r="856" ht="15.75" customHeight="1">
      <c r="A856" s="8"/>
      <c r="B856" s="8"/>
      <c r="C856" s="8"/>
      <c r="D856" s="9"/>
      <c r="E856" s="8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</row>
    <row r="857" ht="15.75" customHeight="1">
      <c r="A857" s="8"/>
      <c r="B857" s="8"/>
      <c r="C857" s="8"/>
      <c r="D857" s="9"/>
      <c r="E857" s="8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</row>
    <row r="858" ht="15.75" customHeight="1">
      <c r="A858" s="8"/>
      <c r="B858" s="8"/>
      <c r="C858" s="8"/>
      <c r="D858" s="9"/>
      <c r="E858" s="8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</row>
    <row r="859" ht="15.75" customHeight="1">
      <c r="A859" s="8"/>
      <c r="B859" s="8"/>
      <c r="C859" s="8"/>
      <c r="D859" s="9"/>
      <c r="E859" s="8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</row>
    <row r="860" ht="15.75" customHeight="1">
      <c r="A860" s="8"/>
      <c r="B860" s="8"/>
      <c r="C860" s="8"/>
      <c r="D860" s="9"/>
      <c r="E860" s="8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</row>
    <row r="861" ht="15.75" customHeight="1">
      <c r="A861" s="8"/>
      <c r="B861" s="8"/>
      <c r="C861" s="8"/>
      <c r="D861" s="9"/>
      <c r="E861" s="8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</row>
    <row r="862" ht="15.75" customHeight="1">
      <c r="A862" s="8"/>
      <c r="B862" s="8"/>
      <c r="C862" s="8"/>
      <c r="D862" s="9"/>
      <c r="E862" s="8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</row>
    <row r="863" ht="15.75" customHeight="1">
      <c r="A863" s="8"/>
      <c r="B863" s="8"/>
      <c r="C863" s="8"/>
      <c r="D863" s="9"/>
      <c r="E863" s="8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</row>
    <row r="864" ht="15.75" customHeight="1">
      <c r="A864" s="8"/>
      <c r="B864" s="8"/>
      <c r="C864" s="8"/>
      <c r="D864" s="9"/>
      <c r="E864" s="8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</row>
    <row r="865" ht="15.75" customHeight="1">
      <c r="A865" s="8"/>
      <c r="B865" s="8"/>
      <c r="C865" s="8"/>
      <c r="D865" s="9"/>
      <c r="E865" s="8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</row>
    <row r="866" ht="15.75" customHeight="1">
      <c r="A866" s="8"/>
      <c r="B866" s="8"/>
      <c r="C866" s="8"/>
      <c r="D866" s="9"/>
      <c r="E866" s="8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</row>
    <row r="867" ht="15.75" customHeight="1">
      <c r="A867" s="8"/>
      <c r="B867" s="8"/>
      <c r="C867" s="8"/>
      <c r="D867" s="9"/>
      <c r="E867" s="8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</row>
    <row r="868" ht="15.75" customHeight="1">
      <c r="A868" s="8"/>
      <c r="B868" s="8"/>
      <c r="C868" s="8"/>
      <c r="D868" s="9"/>
      <c r="E868" s="8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</row>
    <row r="869" ht="15.75" customHeight="1">
      <c r="A869" s="8"/>
      <c r="B869" s="8"/>
      <c r="C869" s="8"/>
      <c r="D869" s="9"/>
      <c r="E869" s="8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</row>
    <row r="870" ht="15.75" customHeight="1">
      <c r="A870" s="8"/>
      <c r="B870" s="8"/>
      <c r="C870" s="8"/>
      <c r="D870" s="9"/>
      <c r="E870" s="8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</row>
    <row r="871" ht="15.75" customHeight="1">
      <c r="A871" s="8"/>
      <c r="B871" s="8"/>
      <c r="C871" s="8"/>
      <c r="D871" s="9"/>
      <c r="E871" s="8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</row>
    <row r="872" ht="15.75" customHeight="1">
      <c r="A872" s="8"/>
      <c r="B872" s="8"/>
      <c r="C872" s="8"/>
      <c r="D872" s="9"/>
      <c r="E872" s="8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</row>
    <row r="873" ht="15.75" customHeight="1">
      <c r="A873" s="8"/>
      <c r="B873" s="8"/>
      <c r="C873" s="8"/>
      <c r="D873" s="9"/>
      <c r="E873" s="8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</row>
    <row r="874" ht="15.75" customHeight="1">
      <c r="A874" s="8"/>
      <c r="B874" s="8"/>
      <c r="C874" s="8"/>
      <c r="D874" s="9"/>
      <c r="E874" s="8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</row>
    <row r="875" ht="15.75" customHeight="1">
      <c r="A875" s="8"/>
      <c r="B875" s="8"/>
      <c r="C875" s="8"/>
      <c r="D875" s="9"/>
      <c r="E875" s="8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</row>
    <row r="876" ht="15.75" customHeight="1">
      <c r="A876" s="8"/>
      <c r="B876" s="8"/>
      <c r="C876" s="8"/>
      <c r="D876" s="9"/>
      <c r="E876" s="8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</row>
    <row r="877" ht="15.75" customHeight="1">
      <c r="A877" s="8"/>
      <c r="B877" s="8"/>
      <c r="C877" s="8"/>
      <c r="D877" s="9"/>
      <c r="E877" s="8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</row>
    <row r="878" ht="15.75" customHeight="1">
      <c r="A878" s="8"/>
      <c r="B878" s="8"/>
      <c r="C878" s="8"/>
      <c r="D878" s="9"/>
      <c r="E878" s="8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</row>
    <row r="879" ht="15.75" customHeight="1">
      <c r="A879" s="8"/>
      <c r="B879" s="8"/>
      <c r="C879" s="8"/>
      <c r="D879" s="9"/>
      <c r="E879" s="8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</row>
    <row r="880" ht="15.75" customHeight="1">
      <c r="A880" s="8"/>
      <c r="B880" s="8"/>
      <c r="C880" s="8"/>
      <c r="D880" s="9"/>
      <c r="E880" s="8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</row>
    <row r="881" ht="15.75" customHeight="1">
      <c r="A881" s="8"/>
      <c r="B881" s="8"/>
      <c r="C881" s="8"/>
      <c r="D881" s="9"/>
      <c r="E881" s="8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</row>
    <row r="882" ht="15.75" customHeight="1">
      <c r="A882" s="8"/>
      <c r="B882" s="8"/>
      <c r="C882" s="8"/>
      <c r="D882" s="9"/>
      <c r="E882" s="8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</row>
    <row r="883" ht="15.75" customHeight="1">
      <c r="A883" s="8"/>
      <c r="B883" s="8"/>
      <c r="C883" s="8"/>
      <c r="D883" s="9"/>
      <c r="E883" s="8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</row>
    <row r="884" ht="15.75" customHeight="1">
      <c r="A884" s="8"/>
      <c r="B884" s="8"/>
      <c r="C884" s="8"/>
      <c r="D884" s="9"/>
      <c r="E884" s="8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</row>
    <row r="885" ht="15.75" customHeight="1">
      <c r="A885" s="8"/>
      <c r="B885" s="8"/>
      <c r="C885" s="8"/>
      <c r="D885" s="9"/>
      <c r="E885" s="8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</row>
    <row r="886" ht="15.75" customHeight="1">
      <c r="A886" s="8"/>
      <c r="B886" s="8"/>
      <c r="C886" s="8"/>
      <c r="D886" s="9"/>
      <c r="E886" s="8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</row>
    <row r="887" ht="15.75" customHeight="1">
      <c r="A887" s="8"/>
      <c r="B887" s="8"/>
      <c r="C887" s="8"/>
      <c r="D887" s="9"/>
      <c r="E887" s="8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</row>
    <row r="888" ht="15.75" customHeight="1">
      <c r="A888" s="8"/>
      <c r="B888" s="8"/>
      <c r="C888" s="8"/>
      <c r="D888" s="9"/>
      <c r="E888" s="8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</row>
    <row r="889" ht="15.75" customHeight="1">
      <c r="A889" s="8"/>
      <c r="B889" s="8"/>
      <c r="C889" s="8"/>
      <c r="D889" s="9"/>
      <c r="E889" s="8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</row>
    <row r="890" ht="15.75" customHeight="1">
      <c r="A890" s="8"/>
      <c r="B890" s="8"/>
      <c r="C890" s="8"/>
      <c r="D890" s="9"/>
      <c r="E890" s="8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</row>
    <row r="891" ht="15.75" customHeight="1">
      <c r="A891" s="8"/>
      <c r="B891" s="8"/>
      <c r="C891" s="8"/>
      <c r="D891" s="9"/>
      <c r="E891" s="8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</row>
    <row r="892" ht="15.75" customHeight="1">
      <c r="A892" s="8"/>
      <c r="B892" s="8"/>
      <c r="C892" s="8"/>
      <c r="D892" s="9"/>
      <c r="E892" s="8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</row>
    <row r="893" ht="15.75" customHeight="1">
      <c r="A893" s="8"/>
      <c r="B893" s="8"/>
      <c r="C893" s="8"/>
      <c r="D893" s="9"/>
      <c r="E893" s="8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</row>
    <row r="894" ht="15.75" customHeight="1">
      <c r="A894" s="8"/>
      <c r="B894" s="8"/>
      <c r="C894" s="8"/>
      <c r="D894" s="9"/>
      <c r="E894" s="8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</row>
    <row r="895" ht="15.75" customHeight="1">
      <c r="A895" s="8"/>
      <c r="B895" s="8"/>
      <c r="C895" s="8"/>
      <c r="D895" s="9"/>
      <c r="E895" s="8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</row>
    <row r="896" ht="15.75" customHeight="1">
      <c r="A896" s="8"/>
      <c r="B896" s="8"/>
      <c r="C896" s="8"/>
      <c r="D896" s="9"/>
      <c r="E896" s="8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</row>
    <row r="897" ht="15.75" customHeight="1">
      <c r="A897" s="8"/>
      <c r="B897" s="8"/>
      <c r="C897" s="8"/>
      <c r="D897" s="9"/>
      <c r="E897" s="8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</row>
    <row r="898" ht="15.75" customHeight="1">
      <c r="A898" s="8"/>
      <c r="B898" s="8"/>
      <c r="C898" s="8"/>
      <c r="D898" s="9"/>
      <c r="E898" s="8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</row>
    <row r="899" ht="15.75" customHeight="1">
      <c r="A899" s="8"/>
      <c r="B899" s="8"/>
      <c r="C899" s="8"/>
      <c r="D899" s="9"/>
      <c r="E899" s="8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</row>
    <row r="900" ht="15.75" customHeight="1">
      <c r="A900" s="8"/>
      <c r="B900" s="8"/>
      <c r="C900" s="8"/>
      <c r="D900" s="9"/>
      <c r="E900" s="8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</row>
    <row r="901" ht="15.75" customHeight="1">
      <c r="A901" s="8"/>
      <c r="B901" s="8"/>
      <c r="C901" s="8"/>
      <c r="D901" s="9"/>
      <c r="E901" s="8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</row>
    <row r="902" ht="15.75" customHeight="1">
      <c r="A902" s="8"/>
      <c r="B902" s="8"/>
      <c r="C902" s="8"/>
      <c r="D902" s="9"/>
      <c r="E902" s="8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</row>
    <row r="903" ht="15.75" customHeight="1">
      <c r="A903" s="8"/>
      <c r="B903" s="8"/>
      <c r="C903" s="8"/>
      <c r="D903" s="9"/>
      <c r="E903" s="8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</row>
    <row r="904" ht="15.75" customHeight="1">
      <c r="A904" s="8"/>
      <c r="B904" s="8"/>
      <c r="C904" s="8"/>
      <c r="D904" s="9"/>
      <c r="E904" s="8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</row>
    <row r="905" ht="15.75" customHeight="1">
      <c r="A905" s="8"/>
      <c r="B905" s="8"/>
      <c r="C905" s="8"/>
      <c r="D905" s="9"/>
      <c r="E905" s="8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</row>
    <row r="906" ht="15.75" customHeight="1">
      <c r="A906" s="8"/>
      <c r="B906" s="8"/>
      <c r="C906" s="8"/>
      <c r="D906" s="9"/>
      <c r="E906" s="8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</row>
    <row r="907" ht="15.75" customHeight="1">
      <c r="A907" s="8"/>
      <c r="B907" s="8"/>
      <c r="C907" s="8"/>
      <c r="D907" s="9"/>
      <c r="E907" s="8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</row>
    <row r="908" ht="15.75" customHeight="1">
      <c r="A908" s="8"/>
      <c r="B908" s="8"/>
      <c r="C908" s="8"/>
      <c r="D908" s="9"/>
      <c r="E908" s="8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</row>
    <row r="909" ht="15.75" customHeight="1">
      <c r="A909" s="8"/>
      <c r="B909" s="8"/>
      <c r="C909" s="8"/>
      <c r="D909" s="9"/>
      <c r="E909" s="8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</row>
    <row r="910" ht="15.75" customHeight="1">
      <c r="A910" s="8"/>
      <c r="B910" s="8"/>
      <c r="C910" s="8"/>
      <c r="D910" s="9"/>
      <c r="E910" s="8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</row>
    <row r="911" ht="15.75" customHeight="1">
      <c r="A911" s="8"/>
      <c r="B911" s="8"/>
      <c r="C911" s="8"/>
      <c r="D911" s="9"/>
      <c r="E911" s="8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</row>
    <row r="912" ht="15.75" customHeight="1">
      <c r="A912" s="8"/>
      <c r="B912" s="8"/>
      <c r="C912" s="8"/>
      <c r="D912" s="9"/>
      <c r="E912" s="8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</row>
    <row r="913" ht="15.75" customHeight="1">
      <c r="A913" s="8"/>
      <c r="B913" s="8"/>
      <c r="C913" s="8"/>
      <c r="D913" s="9"/>
      <c r="E913" s="8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</row>
    <row r="914" ht="15.75" customHeight="1">
      <c r="A914" s="8"/>
      <c r="B914" s="8"/>
      <c r="C914" s="8"/>
      <c r="D914" s="9"/>
      <c r="E914" s="8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</row>
    <row r="915" ht="15.75" customHeight="1">
      <c r="A915" s="8"/>
      <c r="B915" s="8"/>
      <c r="C915" s="8"/>
      <c r="D915" s="9"/>
      <c r="E915" s="8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</row>
    <row r="916" ht="15.75" customHeight="1">
      <c r="A916" s="8"/>
      <c r="B916" s="8"/>
      <c r="C916" s="8"/>
      <c r="D916" s="9"/>
      <c r="E916" s="8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</row>
    <row r="917" ht="15.75" customHeight="1">
      <c r="A917" s="8"/>
      <c r="B917" s="8"/>
      <c r="C917" s="8"/>
      <c r="D917" s="9"/>
      <c r="E917" s="8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</row>
    <row r="918" ht="15.75" customHeight="1">
      <c r="A918" s="8"/>
      <c r="B918" s="8"/>
      <c r="C918" s="8"/>
      <c r="D918" s="9"/>
      <c r="E918" s="8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</row>
    <row r="919" ht="15.75" customHeight="1">
      <c r="A919" s="8"/>
      <c r="B919" s="8"/>
      <c r="C919" s="8"/>
      <c r="D919" s="9"/>
      <c r="E919" s="8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</row>
    <row r="920" ht="15.75" customHeight="1">
      <c r="A920" s="8"/>
      <c r="B920" s="8"/>
      <c r="C920" s="8"/>
      <c r="D920" s="9"/>
      <c r="E920" s="8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</row>
    <row r="921" ht="15.75" customHeight="1">
      <c r="A921" s="8"/>
      <c r="B921" s="8"/>
      <c r="C921" s="8"/>
      <c r="D921" s="9"/>
      <c r="E921" s="8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</row>
    <row r="922" ht="15.75" customHeight="1">
      <c r="A922" s="8"/>
      <c r="B922" s="8"/>
      <c r="C922" s="8"/>
      <c r="D922" s="9"/>
      <c r="E922" s="8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</row>
    <row r="923" ht="15.75" customHeight="1">
      <c r="A923" s="8"/>
      <c r="B923" s="8"/>
      <c r="C923" s="8"/>
      <c r="D923" s="9"/>
      <c r="E923" s="8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</row>
    <row r="924" ht="15.75" customHeight="1">
      <c r="A924" s="8"/>
      <c r="B924" s="8"/>
      <c r="C924" s="8"/>
      <c r="D924" s="9"/>
      <c r="E924" s="8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</row>
    <row r="925" ht="15.75" customHeight="1">
      <c r="A925" s="8"/>
      <c r="B925" s="8"/>
      <c r="C925" s="8"/>
      <c r="D925" s="9"/>
      <c r="E925" s="8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</row>
    <row r="926" ht="15.75" customHeight="1">
      <c r="A926" s="8"/>
      <c r="B926" s="8"/>
      <c r="C926" s="8"/>
      <c r="D926" s="9"/>
      <c r="E926" s="8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</row>
    <row r="927" ht="15.75" customHeight="1">
      <c r="A927" s="8"/>
      <c r="B927" s="8"/>
      <c r="C927" s="8"/>
      <c r="D927" s="9"/>
      <c r="E927" s="8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</row>
    <row r="928" ht="15.75" customHeight="1">
      <c r="A928" s="8"/>
      <c r="B928" s="8"/>
      <c r="C928" s="8"/>
      <c r="D928" s="9"/>
      <c r="E928" s="8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</row>
    <row r="929" ht="15.75" customHeight="1">
      <c r="A929" s="8"/>
      <c r="B929" s="8"/>
      <c r="C929" s="8"/>
      <c r="D929" s="9"/>
      <c r="E929" s="8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</row>
    <row r="930" ht="15.75" customHeight="1">
      <c r="A930" s="8"/>
      <c r="B930" s="8"/>
      <c r="C930" s="8"/>
      <c r="D930" s="9"/>
      <c r="E930" s="8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</row>
    <row r="931" ht="15.75" customHeight="1">
      <c r="A931" s="8"/>
      <c r="B931" s="8"/>
      <c r="C931" s="8"/>
      <c r="D931" s="9"/>
      <c r="E931" s="8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</row>
    <row r="932" ht="15.75" customHeight="1">
      <c r="A932" s="8"/>
      <c r="B932" s="8"/>
      <c r="C932" s="8"/>
      <c r="D932" s="9"/>
      <c r="E932" s="8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</row>
    <row r="933" ht="15.75" customHeight="1">
      <c r="A933" s="8"/>
      <c r="B933" s="8"/>
      <c r="C933" s="8"/>
      <c r="D933" s="9"/>
      <c r="E933" s="8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</row>
    <row r="934" ht="15.75" customHeight="1">
      <c r="A934" s="8"/>
      <c r="B934" s="8"/>
      <c r="C934" s="8"/>
      <c r="D934" s="9"/>
      <c r="E934" s="8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</row>
    <row r="935" ht="15.75" customHeight="1">
      <c r="A935" s="8"/>
      <c r="B935" s="8"/>
      <c r="C935" s="8"/>
      <c r="D935" s="9"/>
      <c r="E935" s="8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</row>
    <row r="936" ht="15.75" customHeight="1">
      <c r="A936" s="8"/>
      <c r="B936" s="8"/>
      <c r="C936" s="8"/>
      <c r="D936" s="9"/>
      <c r="E936" s="8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</row>
    <row r="937" ht="15.75" customHeight="1">
      <c r="A937" s="8"/>
      <c r="B937" s="8"/>
      <c r="C937" s="8"/>
      <c r="D937" s="9"/>
      <c r="E937" s="8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</row>
    <row r="938" ht="15.75" customHeight="1">
      <c r="A938" s="8"/>
      <c r="B938" s="8"/>
      <c r="C938" s="8"/>
      <c r="D938" s="9"/>
      <c r="E938" s="8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</row>
    <row r="939" ht="15.75" customHeight="1">
      <c r="A939" s="8"/>
      <c r="B939" s="8"/>
      <c r="C939" s="8"/>
      <c r="D939" s="9"/>
      <c r="E939" s="8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</row>
    <row r="940" ht="15.75" customHeight="1">
      <c r="A940" s="8"/>
      <c r="B940" s="8"/>
      <c r="C940" s="8"/>
      <c r="D940" s="9"/>
      <c r="E940" s="8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</row>
    <row r="941" ht="15.75" customHeight="1">
      <c r="A941" s="8"/>
      <c r="B941" s="8"/>
      <c r="C941" s="8"/>
      <c r="D941" s="9"/>
      <c r="E941" s="8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</row>
    <row r="942" ht="15.75" customHeight="1">
      <c r="A942" s="8"/>
      <c r="B942" s="8"/>
      <c r="C942" s="8"/>
      <c r="D942" s="9"/>
      <c r="E942" s="8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</row>
    <row r="943" ht="15.75" customHeight="1">
      <c r="A943" s="8"/>
      <c r="B943" s="8"/>
      <c r="C943" s="8"/>
      <c r="D943" s="9"/>
      <c r="E943" s="8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</row>
    <row r="944" ht="15.75" customHeight="1">
      <c r="A944" s="8"/>
      <c r="B944" s="8"/>
      <c r="C944" s="8"/>
      <c r="D944" s="9"/>
      <c r="E944" s="8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</row>
    <row r="945" ht="15.75" customHeight="1">
      <c r="A945" s="8"/>
      <c r="B945" s="8"/>
      <c r="C945" s="8"/>
      <c r="D945" s="9"/>
      <c r="E945" s="8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</row>
    <row r="946" ht="15.75" customHeight="1">
      <c r="A946" s="8"/>
      <c r="B946" s="8"/>
      <c r="C946" s="8"/>
      <c r="D946" s="9"/>
      <c r="E946" s="8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</row>
    <row r="947" ht="15.75" customHeight="1">
      <c r="A947" s="8"/>
      <c r="B947" s="8"/>
      <c r="C947" s="8"/>
      <c r="D947" s="9"/>
      <c r="E947" s="8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</row>
    <row r="948" ht="15.75" customHeight="1">
      <c r="A948" s="8"/>
      <c r="B948" s="8"/>
      <c r="C948" s="8"/>
      <c r="D948" s="9"/>
      <c r="E948" s="8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</row>
    <row r="949" ht="15.75" customHeight="1">
      <c r="A949" s="8"/>
      <c r="B949" s="8"/>
      <c r="C949" s="8"/>
      <c r="D949" s="9"/>
      <c r="E949" s="8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</row>
    <row r="950" ht="15.75" customHeight="1">
      <c r="A950" s="8"/>
      <c r="B950" s="8"/>
      <c r="C950" s="8"/>
      <c r="D950" s="9"/>
      <c r="E950" s="8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</row>
    <row r="951" ht="15.75" customHeight="1">
      <c r="A951" s="8"/>
      <c r="B951" s="8"/>
      <c r="C951" s="8"/>
      <c r="D951" s="9"/>
      <c r="E951" s="8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</row>
    <row r="952" ht="15.75" customHeight="1">
      <c r="A952" s="8"/>
      <c r="B952" s="8"/>
      <c r="C952" s="8"/>
      <c r="D952" s="9"/>
      <c r="E952" s="8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</row>
    <row r="953" ht="15.75" customHeight="1">
      <c r="A953" s="8"/>
      <c r="B953" s="8"/>
      <c r="C953" s="8"/>
      <c r="D953" s="9"/>
      <c r="E953" s="8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</row>
    <row r="954" ht="15.75" customHeight="1">
      <c r="A954" s="8"/>
      <c r="B954" s="8"/>
      <c r="C954" s="8"/>
      <c r="D954" s="9"/>
      <c r="E954" s="8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</row>
    <row r="955" ht="15.75" customHeight="1">
      <c r="A955" s="8"/>
      <c r="B955" s="8"/>
      <c r="C955" s="8"/>
      <c r="D955" s="9"/>
      <c r="E955" s="8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</row>
    <row r="956" ht="15.75" customHeight="1">
      <c r="A956" s="8"/>
      <c r="B956" s="8"/>
      <c r="C956" s="8"/>
      <c r="D956" s="9"/>
      <c r="E956" s="8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</row>
    <row r="957" ht="15.75" customHeight="1">
      <c r="A957" s="8"/>
      <c r="B957" s="8"/>
      <c r="C957" s="8"/>
      <c r="D957" s="9"/>
      <c r="E957" s="8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</row>
    <row r="958" ht="15.75" customHeight="1">
      <c r="A958" s="8"/>
      <c r="B958" s="8"/>
      <c r="C958" s="8"/>
      <c r="D958" s="9"/>
      <c r="E958" s="8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</row>
    <row r="959" ht="15.75" customHeight="1">
      <c r="A959" s="8"/>
      <c r="B959" s="8"/>
      <c r="C959" s="8"/>
      <c r="D959" s="9"/>
      <c r="E959" s="8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</row>
    <row r="960" ht="15.75" customHeight="1">
      <c r="A960" s="8"/>
      <c r="B960" s="8"/>
      <c r="C960" s="8"/>
      <c r="D960" s="9"/>
      <c r="E960" s="8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</row>
    <row r="961" ht="15.75" customHeight="1">
      <c r="A961" s="8"/>
      <c r="B961" s="8"/>
      <c r="C961" s="8"/>
      <c r="D961" s="9"/>
      <c r="E961" s="8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</row>
    <row r="962" ht="15.75" customHeight="1">
      <c r="A962" s="8"/>
      <c r="B962" s="8"/>
      <c r="C962" s="8"/>
      <c r="D962" s="9"/>
      <c r="E962" s="8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</row>
    <row r="963" ht="15.75" customHeight="1">
      <c r="A963" s="8"/>
      <c r="B963" s="8"/>
      <c r="C963" s="8"/>
      <c r="D963" s="9"/>
      <c r="E963" s="8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</row>
    <row r="964" ht="15.75" customHeight="1">
      <c r="A964" s="8"/>
      <c r="B964" s="8"/>
      <c r="C964" s="8"/>
      <c r="D964" s="9"/>
      <c r="E964" s="8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</row>
    <row r="965" ht="15.75" customHeight="1">
      <c r="A965" s="8"/>
      <c r="B965" s="8"/>
      <c r="C965" s="8"/>
      <c r="D965" s="9"/>
      <c r="E965" s="8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</row>
    <row r="966" ht="15.75" customHeight="1">
      <c r="A966" s="8"/>
      <c r="B966" s="8"/>
      <c r="C966" s="8"/>
      <c r="D966" s="9"/>
      <c r="E966" s="8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</row>
    <row r="967" ht="15.75" customHeight="1">
      <c r="A967" s="8"/>
      <c r="B967" s="8"/>
      <c r="C967" s="8"/>
      <c r="D967" s="9"/>
      <c r="E967" s="8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</row>
    <row r="968" ht="15.75" customHeight="1">
      <c r="A968" s="8"/>
      <c r="B968" s="8"/>
      <c r="C968" s="8"/>
      <c r="D968" s="9"/>
      <c r="E968" s="8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</row>
    <row r="969" ht="15.75" customHeight="1">
      <c r="A969" s="8"/>
      <c r="B969" s="8"/>
      <c r="C969" s="8"/>
      <c r="D969" s="9"/>
      <c r="E969" s="8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</row>
    <row r="970" ht="15.75" customHeight="1">
      <c r="A970" s="8"/>
      <c r="B970" s="8"/>
      <c r="C970" s="8"/>
      <c r="D970" s="9"/>
      <c r="E970" s="8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</row>
    <row r="971" ht="15.75" customHeight="1">
      <c r="A971" s="8"/>
      <c r="B971" s="8"/>
      <c r="C971" s="8"/>
      <c r="D971" s="9"/>
      <c r="E971" s="8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</row>
    <row r="972" ht="15.75" customHeight="1">
      <c r="A972" s="8"/>
      <c r="B972" s="8"/>
      <c r="C972" s="8"/>
      <c r="D972" s="9"/>
      <c r="E972" s="8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</row>
    <row r="973" ht="15.75" customHeight="1">
      <c r="A973" s="8"/>
      <c r="B973" s="8"/>
      <c r="C973" s="8"/>
      <c r="D973" s="9"/>
      <c r="E973" s="8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</row>
    <row r="974" ht="15.75" customHeight="1">
      <c r="A974" s="8"/>
      <c r="B974" s="8"/>
      <c r="C974" s="8"/>
      <c r="D974" s="9"/>
      <c r="E974" s="8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</row>
    <row r="975" ht="15.75" customHeight="1">
      <c r="A975" s="8"/>
      <c r="B975" s="8"/>
      <c r="C975" s="8"/>
      <c r="D975" s="9"/>
      <c r="E975" s="8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</row>
    <row r="976" ht="15.75" customHeight="1">
      <c r="A976" s="8"/>
      <c r="B976" s="8"/>
      <c r="C976" s="8"/>
      <c r="D976" s="9"/>
      <c r="E976" s="8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</row>
    <row r="977" ht="15.75" customHeight="1">
      <c r="A977" s="8"/>
      <c r="B977" s="8"/>
      <c r="C977" s="8"/>
      <c r="D977" s="9"/>
      <c r="E977" s="8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</row>
    <row r="978" ht="15.75" customHeight="1">
      <c r="A978" s="8"/>
      <c r="B978" s="8"/>
      <c r="C978" s="8"/>
      <c r="D978" s="9"/>
      <c r="E978" s="8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</row>
    <row r="979" ht="15.75" customHeight="1">
      <c r="A979" s="8"/>
      <c r="B979" s="8"/>
      <c r="C979" s="8"/>
      <c r="D979" s="9"/>
      <c r="E979" s="8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</row>
    <row r="980" ht="15.75" customHeight="1">
      <c r="A980" s="8"/>
      <c r="B980" s="8"/>
      <c r="C980" s="8"/>
      <c r="D980" s="9"/>
      <c r="E980" s="8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</row>
    <row r="981" ht="15.75" customHeight="1">
      <c r="A981" s="8"/>
      <c r="B981" s="8"/>
      <c r="C981" s="8"/>
      <c r="D981" s="9"/>
      <c r="E981" s="8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</row>
    <row r="982" ht="15.75" customHeight="1">
      <c r="A982" s="8"/>
      <c r="B982" s="8"/>
      <c r="C982" s="8"/>
      <c r="D982" s="9"/>
      <c r="E982" s="8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</row>
    <row r="983" ht="15.75" customHeight="1">
      <c r="A983" s="8"/>
      <c r="B983" s="8"/>
      <c r="C983" s="8"/>
      <c r="D983" s="9"/>
      <c r="E983" s="8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</row>
    <row r="984" ht="15.75" customHeight="1">
      <c r="A984" s="8"/>
      <c r="B984" s="8"/>
      <c r="C984" s="8"/>
      <c r="D984" s="9"/>
      <c r="E984" s="8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</row>
    <row r="985" ht="15.75" customHeight="1">
      <c r="A985" s="8"/>
      <c r="B985" s="8"/>
      <c r="C985" s="8"/>
      <c r="D985" s="9"/>
      <c r="E985" s="8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</row>
    <row r="986" ht="15.75" customHeight="1">
      <c r="A986" s="8"/>
      <c r="B986" s="8"/>
      <c r="C986" s="8"/>
      <c r="D986" s="9"/>
      <c r="E986" s="8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</row>
    <row r="987" ht="15.75" customHeight="1">
      <c r="A987" s="8"/>
      <c r="B987" s="8"/>
      <c r="C987" s="8"/>
      <c r="D987" s="9"/>
      <c r="E987" s="8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</row>
    <row r="988" ht="15.75" customHeight="1">
      <c r="A988" s="8"/>
      <c r="B988" s="8"/>
      <c r="C988" s="8"/>
      <c r="D988" s="9"/>
      <c r="E988" s="8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</row>
    <row r="989" ht="15.75" customHeight="1">
      <c r="A989" s="8"/>
      <c r="B989" s="8"/>
      <c r="C989" s="8"/>
      <c r="D989" s="9"/>
      <c r="E989" s="8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</row>
    <row r="990" ht="15.75" customHeight="1">
      <c r="A990" s="8"/>
      <c r="B990" s="8"/>
      <c r="C990" s="8"/>
      <c r="D990" s="9"/>
      <c r="E990" s="8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</row>
    <row r="991" ht="15.75" customHeight="1">
      <c r="A991" s="8"/>
      <c r="B991" s="8"/>
      <c r="C991" s="8"/>
      <c r="D991" s="9"/>
      <c r="E991" s="8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</row>
    <row r="992" ht="15.75" customHeight="1">
      <c r="A992" s="8"/>
      <c r="B992" s="8"/>
      <c r="C992" s="8"/>
      <c r="D992" s="9"/>
      <c r="E992" s="8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</row>
    <row r="993" ht="15.75" customHeight="1">
      <c r="A993" s="8"/>
      <c r="B993" s="8"/>
      <c r="C993" s="8"/>
      <c r="D993" s="9"/>
      <c r="E993" s="8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</row>
    <row r="994" ht="15.75" customHeight="1">
      <c r="A994" s="8"/>
      <c r="B994" s="8"/>
      <c r="C994" s="8"/>
      <c r="D994" s="9"/>
      <c r="E994" s="8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</row>
    <row r="995" ht="15.75" customHeight="1">
      <c r="A995" s="8"/>
      <c r="B995" s="8"/>
      <c r="C995" s="8"/>
      <c r="D995" s="9"/>
      <c r="E995" s="8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</row>
    <row r="996" ht="15.75" customHeight="1">
      <c r="A996" s="8"/>
      <c r="B996" s="8"/>
      <c r="C996" s="8"/>
      <c r="D996" s="9"/>
      <c r="E996" s="8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</row>
    <row r="997" ht="15.75" customHeight="1">
      <c r="A997" s="8"/>
      <c r="B997" s="8"/>
      <c r="C997" s="8"/>
      <c r="D997" s="9"/>
      <c r="E997" s="8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</row>
    <row r="998" ht="15.75" customHeight="1">
      <c r="A998" s="8"/>
      <c r="B998" s="8"/>
      <c r="C998" s="8"/>
      <c r="D998" s="9"/>
      <c r="E998" s="8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</row>
    <row r="999" ht="15.75" customHeight="1">
      <c r="A999" s="8"/>
      <c r="B999" s="8"/>
      <c r="C999" s="8"/>
      <c r="D999" s="9"/>
      <c r="E999" s="8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</row>
    <row r="1000" ht="15.75" customHeight="1">
      <c r="A1000" s="8"/>
      <c r="B1000" s="8"/>
      <c r="C1000" s="8"/>
      <c r="D1000" s="9"/>
      <c r="E1000" s="8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23.25"/>
    <col customWidth="1" min="3" max="3" width="6.13"/>
    <col customWidth="1" min="4" max="4" width="10.75"/>
    <col customWidth="1" min="5" max="5" width="10.25"/>
    <col customWidth="1" min="6" max="6" width="11.63"/>
    <col customWidth="1" min="7" max="7" width="10.63"/>
    <col customWidth="1" min="8" max="8" width="10.13"/>
    <col customWidth="1" min="9" max="9" width="11.25"/>
    <col customWidth="1" min="10" max="10" width="10.75"/>
    <col customWidth="1" min="11" max="11" width="10.25"/>
    <col customWidth="1" min="12" max="12" width="11.63"/>
    <col customWidth="1" min="13" max="13" width="10.63"/>
    <col customWidth="1" min="14" max="14" width="10.13"/>
    <col customWidth="1" min="15" max="15" width="11.25"/>
    <col customWidth="1" min="16" max="16" width="10.75"/>
    <col customWidth="1" min="17" max="17" width="10.25"/>
    <col customWidth="1" min="18" max="18" width="11.63"/>
    <col customWidth="1" min="19" max="19" width="10.63"/>
    <col customWidth="1" min="20" max="20" width="10.13"/>
    <col customWidth="1" min="21" max="21" width="11.25"/>
    <col customWidth="1" min="22" max="22" width="10.75"/>
    <col customWidth="1" min="23" max="23" width="10.25"/>
    <col customWidth="1" min="24" max="24" width="11.63"/>
    <col customWidth="1" min="25" max="25" width="10.63"/>
    <col customWidth="1" min="26" max="26" width="10.13"/>
    <col customWidth="1" min="27" max="27" width="11.25"/>
    <col customWidth="1" min="28" max="28" width="10.75"/>
    <col customWidth="1" min="29" max="29" width="10.25"/>
    <col customWidth="1" min="30" max="30" width="11.63"/>
    <col customWidth="1" min="31" max="31" width="10.63"/>
    <col customWidth="1" min="32" max="32" width="10.13"/>
    <col customWidth="1" min="33" max="33" width="10.25"/>
    <col customWidth="1" min="34" max="34" width="10.75"/>
    <col customWidth="1" min="35" max="35" width="10.25"/>
    <col customWidth="1" min="36" max="36" width="11.63"/>
    <col customWidth="1" min="37" max="37" width="10.63"/>
    <col customWidth="1" min="38" max="38" width="10.13"/>
    <col customWidth="1" min="39" max="39" width="11.25"/>
  </cols>
  <sheetData>
    <row r="1">
      <c r="A1" s="25" t="s">
        <v>143</v>
      </c>
      <c r="B1" s="25" t="s">
        <v>144</v>
      </c>
      <c r="C1" s="26" t="s">
        <v>7</v>
      </c>
      <c r="D1" s="27" t="s">
        <v>145</v>
      </c>
      <c r="E1" s="27" t="s">
        <v>34</v>
      </c>
      <c r="F1" s="27" t="s">
        <v>40</v>
      </c>
      <c r="G1" s="28" t="s">
        <v>146</v>
      </c>
      <c r="H1" s="28" t="s">
        <v>52</v>
      </c>
      <c r="I1" s="28" t="s">
        <v>58</v>
      </c>
      <c r="J1" s="27" t="s">
        <v>147</v>
      </c>
      <c r="K1" s="27" t="s">
        <v>35</v>
      </c>
      <c r="L1" s="27" t="s">
        <v>41</v>
      </c>
      <c r="M1" s="29" t="s">
        <v>148</v>
      </c>
      <c r="N1" s="29" t="s">
        <v>53</v>
      </c>
      <c r="O1" s="29" t="s">
        <v>59</v>
      </c>
      <c r="P1" s="27" t="s">
        <v>149</v>
      </c>
      <c r="Q1" s="27" t="s">
        <v>36</v>
      </c>
      <c r="R1" s="27" t="s">
        <v>42</v>
      </c>
      <c r="S1" s="29" t="s">
        <v>150</v>
      </c>
      <c r="T1" s="29" t="s">
        <v>54</v>
      </c>
      <c r="U1" s="29" t="s">
        <v>60</v>
      </c>
      <c r="V1" s="27" t="s">
        <v>151</v>
      </c>
      <c r="W1" s="27" t="s">
        <v>37</v>
      </c>
      <c r="X1" s="27" t="s">
        <v>43</v>
      </c>
      <c r="Y1" s="29" t="s">
        <v>152</v>
      </c>
      <c r="Z1" s="29" t="s">
        <v>55</v>
      </c>
      <c r="AA1" s="29" t="s">
        <v>61</v>
      </c>
      <c r="AB1" s="27" t="s">
        <v>153</v>
      </c>
      <c r="AC1" s="27" t="s">
        <v>38</v>
      </c>
      <c r="AD1" s="27" t="s">
        <v>44</v>
      </c>
      <c r="AE1" s="29" t="s">
        <v>154</v>
      </c>
      <c r="AF1" s="29" t="s">
        <v>56</v>
      </c>
      <c r="AG1" s="29" t="s">
        <v>62</v>
      </c>
      <c r="AH1" s="27" t="s">
        <v>155</v>
      </c>
      <c r="AI1" s="27" t="s">
        <v>39</v>
      </c>
      <c r="AJ1" s="27" t="s">
        <v>45</v>
      </c>
      <c r="AK1" s="29" t="s">
        <v>156</v>
      </c>
      <c r="AL1" s="29" t="s">
        <v>57</v>
      </c>
      <c r="AM1" s="29" t="s">
        <v>63</v>
      </c>
    </row>
    <row r="2">
      <c r="A2" s="30" t="s">
        <v>157</v>
      </c>
      <c r="B2" s="30" t="s">
        <v>65</v>
      </c>
      <c r="C2" s="13">
        <v>3.0</v>
      </c>
      <c r="D2" s="13">
        <v>0.0</v>
      </c>
      <c r="E2" s="13">
        <v>2.0</v>
      </c>
      <c r="F2" s="13">
        <v>187.0</v>
      </c>
      <c r="G2" s="13">
        <v>0.0</v>
      </c>
      <c r="H2" s="13">
        <v>8.0</v>
      </c>
      <c r="I2" s="13">
        <v>283.0</v>
      </c>
      <c r="J2" s="13">
        <v>0.0</v>
      </c>
      <c r="K2" s="13">
        <v>5.0</v>
      </c>
      <c r="L2" s="13">
        <v>215.0</v>
      </c>
      <c r="M2" s="13">
        <v>0.0</v>
      </c>
      <c r="N2" s="13">
        <v>1.0</v>
      </c>
      <c r="O2" s="13">
        <v>278.0</v>
      </c>
      <c r="P2" s="13">
        <v>0.0</v>
      </c>
      <c r="Q2" s="13">
        <v>2.0</v>
      </c>
      <c r="R2" s="13">
        <v>184.0</v>
      </c>
      <c r="S2" s="13">
        <v>0.0</v>
      </c>
      <c r="T2" s="13">
        <v>12.0</v>
      </c>
      <c r="U2" s="13">
        <v>265.0</v>
      </c>
      <c r="V2" s="13">
        <v>0.0</v>
      </c>
      <c r="W2" s="13">
        <v>1.0</v>
      </c>
      <c r="X2" s="13">
        <v>233.0</v>
      </c>
      <c r="Y2" s="13">
        <v>0.0</v>
      </c>
      <c r="Z2" s="13">
        <v>5.0</v>
      </c>
      <c r="AA2" s="13">
        <v>278.0</v>
      </c>
      <c r="AB2" s="13">
        <v>0.0</v>
      </c>
      <c r="AC2" s="13">
        <v>0.0</v>
      </c>
      <c r="AD2" s="13">
        <v>254.0</v>
      </c>
      <c r="AE2" s="13">
        <v>2.0</v>
      </c>
      <c r="AF2" s="13">
        <v>1.0</v>
      </c>
      <c r="AG2" s="13">
        <v>285.0</v>
      </c>
      <c r="AH2" s="13">
        <v>1.0</v>
      </c>
      <c r="AI2" s="13">
        <v>0.0</v>
      </c>
      <c r="AJ2" s="13">
        <v>0.0</v>
      </c>
      <c r="AK2" s="13">
        <v>2.0</v>
      </c>
      <c r="AL2" s="13">
        <v>0.0</v>
      </c>
      <c r="AM2" s="13">
        <v>0.0</v>
      </c>
    </row>
    <row r="3">
      <c r="A3" s="30" t="s">
        <v>157</v>
      </c>
      <c r="B3" s="30" t="s">
        <v>69</v>
      </c>
      <c r="C3" s="13">
        <v>4.0</v>
      </c>
      <c r="D3" s="13">
        <v>7.0</v>
      </c>
      <c r="E3" s="13">
        <v>7.0</v>
      </c>
      <c r="F3" s="13">
        <v>335.0</v>
      </c>
      <c r="G3" s="13">
        <v>7.0</v>
      </c>
      <c r="H3" s="13">
        <v>13.0</v>
      </c>
      <c r="I3" s="13">
        <v>381.0</v>
      </c>
      <c r="J3" s="13">
        <v>3.0</v>
      </c>
      <c r="K3" s="13">
        <v>10.0</v>
      </c>
      <c r="L3" s="13">
        <v>356.0</v>
      </c>
      <c r="M3" s="13">
        <v>2.0</v>
      </c>
      <c r="N3" s="13">
        <v>8.0</v>
      </c>
      <c r="O3" s="13">
        <v>363.0</v>
      </c>
      <c r="P3" s="13">
        <v>6.0</v>
      </c>
      <c r="Q3" s="13">
        <v>23.0</v>
      </c>
      <c r="R3" s="13">
        <v>376.0</v>
      </c>
      <c r="S3" s="13">
        <v>2.0</v>
      </c>
      <c r="T3" s="13">
        <v>14.0</v>
      </c>
      <c r="U3" s="13">
        <v>349.0</v>
      </c>
      <c r="V3" s="13">
        <v>11.0</v>
      </c>
      <c r="W3" s="13">
        <v>8.0</v>
      </c>
      <c r="X3" s="13">
        <v>383.0</v>
      </c>
      <c r="Y3" s="13">
        <v>7.0</v>
      </c>
      <c r="Z3" s="13">
        <v>16.0</v>
      </c>
      <c r="AA3" s="13">
        <v>417.0</v>
      </c>
      <c r="AB3" s="13">
        <v>10.0</v>
      </c>
      <c r="AC3" s="13">
        <v>0.0</v>
      </c>
      <c r="AD3" s="13">
        <v>389.0</v>
      </c>
      <c r="AE3" s="13">
        <v>1.0</v>
      </c>
      <c r="AF3" s="13">
        <v>0.0</v>
      </c>
      <c r="AG3" s="13">
        <v>402.0</v>
      </c>
      <c r="AH3" s="13">
        <v>16.0</v>
      </c>
      <c r="AI3" s="13">
        <v>0.0</v>
      </c>
      <c r="AJ3" s="13">
        <v>0.0</v>
      </c>
      <c r="AK3" s="13">
        <v>3.0</v>
      </c>
      <c r="AL3" s="13">
        <v>0.0</v>
      </c>
      <c r="AM3" s="13">
        <v>0.0</v>
      </c>
    </row>
    <row r="4">
      <c r="A4" s="30" t="s">
        <v>157</v>
      </c>
      <c r="B4" s="30" t="s">
        <v>72</v>
      </c>
      <c r="C4" s="13">
        <v>3.0</v>
      </c>
      <c r="D4" s="13">
        <v>25.0</v>
      </c>
      <c r="E4" s="13">
        <v>58.0</v>
      </c>
      <c r="F4" s="13">
        <v>70.0</v>
      </c>
      <c r="G4" s="13">
        <v>31.0</v>
      </c>
      <c r="H4" s="13">
        <v>41.0</v>
      </c>
      <c r="I4" s="13">
        <v>61.0</v>
      </c>
      <c r="J4" s="13">
        <v>15.0</v>
      </c>
      <c r="K4" s="13">
        <v>35.0</v>
      </c>
      <c r="L4" s="13">
        <v>65.0</v>
      </c>
      <c r="M4" s="13">
        <v>18.0</v>
      </c>
      <c r="N4" s="13">
        <v>36.0</v>
      </c>
      <c r="O4" s="13">
        <v>58.0</v>
      </c>
      <c r="P4" s="13">
        <v>23.0</v>
      </c>
      <c r="Q4" s="13">
        <v>48.0</v>
      </c>
      <c r="R4" s="13">
        <v>84.0</v>
      </c>
      <c r="S4" s="13">
        <v>18.0</v>
      </c>
      <c r="T4" s="13">
        <v>39.0</v>
      </c>
      <c r="U4" s="13">
        <v>63.0</v>
      </c>
      <c r="V4" s="13">
        <v>10.0</v>
      </c>
      <c r="W4" s="13">
        <v>35.0</v>
      </c>
      <c r="X4" s="13">
        <v>110.0</v>
      </c>
      <c r="Y4" s="13">
        <v>22.0</v>
      </c>
      <c r="Z4" s="13">
        <v>15.0</v>
      </c>
      <c r="AA4" s="13">
        <v>58.0</v>
      </c>
      <c r="AB4" s="13">
        <v>23.0</v>
      </c>
      <c r="AC4" s="13">
        <v>1.0</v>
      </c>
      <c r="AD4" s="13">
        <v>74.0</v>
      </c>
      <c r="AE4" s="13">
        <v>43.0</v>
      </c>
      <c r="AF4" s="13">
        <v>1.0</v>
      </c>
      <c r="AG4" s="13">
        <v>52.0</v>
      </c>
      <c r="AH4" s="13">
        <v>25.0</v>
      </c>
      <c r="AI4" s="13">
        <v>0.0</v>
      </c>
      <c r="AJ4" s="13">
        <v>0.0</v>
      </c>
      <c r="AK4" s="13">
        <v>28.0</v>
      </c>
      <c r="AL4" s="13">
        <v>0.0</v>
      </c>
      <c r="AM4" s="13">
        <v>0.0</v>
      </c>
    </row>
    <row r="5">
      <c r="A5" s="30" t="s">
        <v>158</v>
      </c>
      <c r="B5" s="30" t="s">
        <v>76</v>
      </c>
      <c r="C5" s="13">
        <v>4.0</v>
      </c>
      <c r="D5" s="13">
        <v>0.0</v>
      </c>
      <c r="E5" s="13">
        <v>8.0</v>
      </c>
      <c r="F5" s="13">
        <v>268.0</v>
      </c>
      <c r="G5" s="13">
        <v>2.0</v>
      </c>
      <c r="H5" s="13">
        <v>9.0</v>
      </c>
      <c r="I5" s="13">
        <v>352.0</v>
      </c>
      <c r="J5" s="13">
        <v>5.0</v>
      </c>
      <c r="K5" s="13">
        <v>7.0</v>
      </c>
      <c r="L5" s="13">
        <v>262.0</v>
      </c>
      <c r="M5" s="13">
        <v>3.0</v>
      </c>
      <c r="N5" s="13">
        <v>12.0</v>
      </c>
      <c r="O5" s="13">
        <v>328.0</v>
      </c>
      <c r="P5" s="13">
        <v>4.0</v>
      </c>
      <c r="Q5" s="13">
        <v>10.0</v>
      </c>
      <c r="R5" s="13">
        <v>286.0</v>
      </c>
      <c r="S5" s="13">
        <v>2.0</v>
      </c>
      <c r="T5" s="13">
        <v>15.0</v>
      </c>
      <c r="U5" s="13">
        <v>375.0</v>
      </c>
      <c r="V5" s="13">
        <v>3.0</v>
      </c>
      <c r="W5" s="13">
        <v>11.0</v>
      </c>
      <c r="X5" s="13">
        <v>300.0</v>
      </c>
      <c r="Y5" s="13">
        <v>2.0</v>
      </c>
      <c r="Z5" s="13">
        <v>15.0</v>
      </c>
      <c r="AA5" s="13">
        <v>379.0</v>
      </c>
      <c r="AB5" s="13">
        <v>4.0</v>
      </c>
      <c r="AC5" s="13">
        <v>11.0</v>
      </c>
      <c r="AD5" s="13">
        <v>313.0</v>
      </c>
      <c r="AE5" s="13">
        <v>4.0</v>
      </c>
      <c r="AF5" s="13">
        <v>18.0</v>
      </c>
      <c r="AG5" s="13">
        <v>338.0</v>
      </c>
      <c r="AH5" s="13">
        <v>5.0</v>
      </c>
      <c r="AI5" s="13">
        <v>0.0</v>
      </c>
      <c r="AJ5" s="13">
        <v>0.0</v>
      </c>
      <c r="AK5" s="13">
        <v>2.0</v>
      </c>
      <c r="AL5" s="13">
        <v>0.0</v>
      </c>
      <c r="AM5" s="13">
        <v>0.0</v>
      </c>
    </row>
    <row r="6">
      <c r="A6" s="30" t="s">
        <v>158</v>
      </c>
      <c r="B6" s="30" t="s">
        <v>79</v>
      </c>
      <c r="C6" s="13">
        <v>8.0</v>
      </c>
      <c r="D6" s="13">
        <v>1.0</v>
      </c>
      <c r="E6" s="13">
        <v>37.0</v>
      </c>
      <c r="F6" s="13">
        <v>773.0</v>
      </c>
      <c r="G6" s="13">
        <v>0.0</v>
      </c>
      <c r="H6" s="13">
        <v>6.0</v>
      </c>
      <c r="I6" s="13">
        <v>316.0</v>
      </c>
      <c r="J6" s="13">
        <v>2.0</v>
      </c>
      <c r="K6" s="13">
        <v>42.0</v>
      </c>
      <c r="L6" s="13">
        <v>721.0</v>
      </c>
      <c r="M6" s="13">
        <v>0.0</v>
      </c>
      <c r="N6" s="13">
        <v>7.0</v>
      </c>
      <c r="O6" s="13">
        <v>346.0</v>
      </c>
      <c r="P6" s="13">
        <v>6.0</v>
      </c>
      <c r="Q6" s="13">
        <v>33.0</v>
      </c>
      <c r="R6" s="13">
        <v>747.0</v>
      </c>
      <c r="S6" s="13">
        <v>1.0</v>
      </c>
      <c r="T6" s="13">
        <v>10.0</v>
      </c>
      <c r="U6" s="13">
        <v>357.0</v>
      </c>
      <c r="V6" s="13">
        <v>2.0</v>
      </c>
      <c r="W6" s="13">
        <v>32.0</v>
      </c>
      <c r="X6" s="13">
        <v>767.0</v>
      </c>
      <c r="Y6" s="13">
        <v>8.0</v>
      </c>
      <c r="Z6" s="13">
        <v>7.0</v>
      </c>
      <c r="AA6" s="13">
        <v>322.0</v>
      </c>
      <c r="AB6" s="13">
        <v>14.0</v>
      </c>
      <c r="AC6" s="13">
        <v>0.0</v>
      </c>
      <c r="AD6" s="13">
        <v>819.0</v>
      </c>
      <c r="AE6" s="13">
        <v>0.0</v>
      </c>
      <c r="AF6" s="13">
        <v>0.0</v>
      </c>
      <c r="AG6" s="13">
        <v>341.0</v>
      </c>
      <c r="AH6" s="13">
        <v>10.0</v>
      </c>
      <c r="AI6" s="13">
        <v>0.0</v>
      </c>
      <c r="AJ6" s="13">
        <v>0.0</v>
      </c>
      <c r="AK6" s="13">
        <v>0.0</v>
      </c>
      <c r="AL6" s="13">
        <v>0.0</v>
      </c>
      <c r="AM6" s="13">
        <v>0.0</v>
      </c>
    </row>
    <row r="7">
      <c r="A7" s="30" t="s">
        <v>158</v>
      </c>
      <c r="B7" s="30" t="s">
        <v>82</v>
      </c>
      <c r="C7" s="13">
        <v>6.0</v>
      </c>
      <c r="D7" s="13">
        <v>9.0</v>
      </c>
      <c r="E7" s="13">
        <v>155.0</v>
      </c>
      <c r="F7" s="13">
        <v>272.0</v>
      </c>
      <c r="G7" s="13">
        <v>9.0</v>
      </c>
      <c r="H7" s="13">
        <v>62.0</v>
      </c>
      <c r="I7" s="13">
        <v>123.0</v>
      </c>
      <c r="J7" s="13">
        <v>0.0</v>
      </c>
      <c r="K7" s="13">
        <v>115.0</v>
      </c>
      <c r="L7" s="13">
        <v>305.0</v>
      </c>
      <c r="M7" s="13">
        <v>5.0</v>
      </c>
      <c r="N7" s="13">
        <v>40.0</v>
      </c>
      <c r="O7" s="13">
        <v>115.0</v>
      </c>
      <c r="P7" s="13">
        <v>1.0</v>
      </c>
      <c r="Q7" s="13">
        <v>204.0</v>
      </c>
      <c r="R7" s="13">
        <v>263.0</v>
      </c>
      <c r="S7" s="13">
        <v>9.0</v>
      </c>
      <c r="T7" s="13">
        <v>66.0</v>
      </c>
      <c r="U7" s="13">
        <v>92.0</v>
      </c>
      <c r="V7" s="13">
        <v>3.0</v>
      </c>
      <c r="W7" s="13">
        <v>2.0</v>
      </c>
      <c r="X7" s="13">
        <v>292.0</v>
      </c>
      <c r="Y7" s="13">
        <v>8.0</v>
      </c>
      <c r="Z7" s="13">
        <v>1.0</v>
      </c>
      <c r="AA7" s="13">
        <v>149.0</v>
      </c>
      <c r="AB7" s="13">
        <v>6.0</v>
      </c>
      <c r="AC7" s="13">
        <v>0.0</v>
      </c>
      <c r="AD7" s="13">
        <v>349.0</v>
      </c>
      <c r="AE7" s="13">
        <v>9.0</v>
      </c>
      <c r="AF7" s="13">
        <v>0.0</v>
      </c>
      <c r="AG7" s="13">
        <v>153.0</v>
      </c>
      <c r="AH7" s="13">
        <v>2.0</v>
      </c>
      <c r="AI7" s="13">
        <v>0.0</v>
      </c>
      <c r="AJ7" s="13">
        <v>0.0</v>
      </c>
      <c r="AK7" s="13">
        <v>4.0</v>
      </c>
      <c r="AL7" s="13">
        <v>0.0</v>
      </c>
      <c r="AM7" s="13">
        <v>0.0</v>
      </c>
    </row>
    <row r="8">
      <c r="A8" s="30" t="s">
        <v>158</v>
      </c>
      <c r="B8" s="30" t="s">
        <v>85</v>
      </c>
      <c r="C8" s="13">
        <v>12.0</v>
      </c>
      <c r="D8" s="13">
        <v>15.0</v>
      </c>
      <c r="E8" s="13">
        <v>124.0</v>
      </c>
      <c r="F8" s="13">
        <v>830.0</v>
      </c>
      <c r="G8" s="13">
        <v>12.0</v>
      </c>
      <c r="H8" s="13">
        <v>71.0</v>
      </c>
      <c r="I8" s="13">
        <v>354.0</v>
      </c>
      <c r="J8" s="13">
        <v>13.0</v>
      </c>
      <c r="K8" s="13">
        <v>74.0</v>
      </c>
      <c r="L8" s="13">
        <v>824.0</v>
      </c>
      <c r="M8" s="13">
        <v>25.0</v>
      </c>
      <c r="N8" s="13">
        <v>52.0</v>
      </c>
      <c r="O8" s="13">
        <v>320.0</v>
      </c>
      <c r="P8" s="13">
        <v>17.0</v>
      </c>
      <c r="Q8" s="13">
        <v>78.0</v>
      </c>
      <c r="R8" s="13">
        <v>921.0</v>
      </c>
      <c r="S8" s="13">
        <v>10.0</v>
      </c>
      <c r="T8" s="13">
        <v>73.0</v>
      </c>
      <c r="U8" s="13">
        <v>372.0</v>
      </c>
      <c r="V8" s="13">
        <v>7.0</v>
      </c>
      <c r="W8" s="13">
        <v>66.0</v>
      </c>
      <c r="X8" s="13">
        <v>842.0</v>
      </c>
      <c r="Y8" s="13">
        <v>6.0</v>
      </c>
      <c r="Z8" s="13">
        <v>52.0</v>
      </c>
      <c r="AA8" s="13">
        <v>402.0</v>
      </c>
      <c r="AB8" s="13">
        <v>5.0</v>
      </c>
      <c r="AC8" s="13">
        <v>68.0</v>
      </c>
      <c r="AD8" s="13">
        <v>879.0</v>
      </c>
      <c r="AE8" s="13">
        <v>6.0</v>
      </c>
      <c r="AF8" s="13">
        <v>28.0</v>
      </c>
      <c r="AG8" s="13">
        <v>367.0</v>
      </c>
      <c r="AH8" s="13">
        <v>3.0</v>
      </c>
      <c r="AI8" s="13">
        <v>0.0</v>
      </c>
      <c r="AJ8" s="13">
        <v>0.0</v>
      </c>
      <c r="AK8" s="13">
        <v>4.0</v>
      </c>
      <c r="AL8" s="13">
        <v>0.0</v>
      </c>
      <c r="AM8" s="13">
        <v>0.0</v>
      </c>
    </row>
    <row r="9">
      <c r="A9" s="30" t="s">
        <v>158</v>
      </c>
      <c r="B9" s="30" t="s">
        <v>89</v>
      </c>
      <c r="C9" s="13">
        <v>17.0</v>
      </c>
      <c r="D9" s="13">
        <v>6.0</v>
      </c>
      <c r="E9" s="13">
        <v>78.0</v>
      </c>
      <c r="F9" s="13">
        <v>1065.0</v>
      </c>
      <c r="G9" s="13">
        <v>28.0</v>
      </c>
      <c r="H9" s="13">
        <v>30.0</v>
      </c>
      <c r="I9" s="13">
        <v>459.0</v>
      </c>
      <c r="J9" s="13">
        <v>1.0</v>
      </c>
      <c r="K9" s="13">
        <v>77.0</v>
      </c>
      <c r="L9" s="13">
        <v>1061.0</v>
      </c>
      <c r="M9" s="13">
        <v>11.0</v>
      </c>
      <c r="N9" s="13">
        <v>43.0</v>
      </c>
      <c r="O9" s="13">
        <v>435.0</v>
      </c>
      <c r="P9" s="13">
        <v>2.0</v>
      </c>
      <c r="Q9" s="13">
        <v>112.0</v>
      </c>
      <c r="R9" s="13">
        <v>1063.0</v>
      </c>
      <c r="S9" s="13">
        <v>17.0</v>
      </c>
      <c r="T9" s="13">
        <v>59.0</v>
      </c>
      <c r="U9" s="13">
        <v>451.0</v>
      </c>
      <c r="V9" s="13">
        <v>1.0</v>
      </c>
      <c r="W9" s="13">
        <v>147.0</v>
      </c>
      <c r="X9" s="13">
        <v>1099.0</v>
      </c>
      <c r="Y9" s="13">
        <v>17.0</v>
      </c>
      <c r="Z9" s="13">
        <v>69.0</v>
      </c>
      <c r="AA9" s="13">
        <v>491.0</v>
      </c>
      <c r="AB9" s="13">
        <v>4.0</v>
      </c>
      <c r="AC9" s="13">
        <v>23.0</v>
      </c>
      <c r="AD9" s="13">
        <v>1232.0</v>
      </c>
      <c r="AE9" s="13">
        <v>21.0</v>
      </c>
      <c r="AF9" s="13">
        <v>14.0</v>
      </c>
      <c r="AG9" s="13">
        <v>488.0</v>
      </c>
      <c r="AH9" s="13">
        <v>5.0</v>
      </c>
      <c r="AI9" s="13">
        <v>0.0</v>
      </c>
      <c r="AJ9" s="13">
        <v>0.0</v>
      </c>
      <c r="AK9" s="13">
        <v>25.0</v>
      </c>
      <c r="AL9" s="13">
        <v>0.0</v>
      </c>
      <c r="AM9" s="13">
        <v>0.0</v>
      </c>
    </row>
    <row r="10">
      <c r="A10" s="30" t="s">
        <v>159</v>
      </c>
      <c r="B10" s="30" t="s">
        <v>100</v>
      </c>
      <c r="C10" s="13">
        <v>5.0</v>
      </c>
      <c r="D10" s="13">
        <v>0.0</v>
      </c>
      <c r="E10" s="13">
        <v>7.0</v>
      </c>
      <c r="F10" s="13">
        <v>524.0</v>
      </c>
      <c r="G10" s="13">
        <v>8.0</v>
      </c>
      <c r="H10" s="13">
        <v>5.0</v>
      </c>
      <c r="I10" s="13">
        <v>252.0</v>
      </c>
      <c r="J10" s="13">
        <v>5.0</v>
      </c>
      <c r="K10" s="13">
        <v>9.0</v>
      </c>
      <c r="L10" s="13">
        <v>524.0</v>
      </c>
      <c r="M10" s="13">
        <v>6.0</v>
      </c>
      <c r="N10" s="13">
        <v>5.0</v>
      </c>
      <c r="O10" s="13">
        <v>227.0</v>
      </c>
      <c r="P10" s="13">
        <v>4.0</v>
      </c>
      <c r="Q10" s="13">
        <v>16.0</v>
      </c>
      <c r="R10" s="13">
        <v>507.0</v>
      </c>
      <c r="S10" s="13">
        <v>4.0</v>
      </c>
      <c r="T10" s="13">
        <v>6.0</v>
      </c>
      <c r="U10" s="13">
        <v>208.0</v>
      </c>
      <c r="V10" s="13">
        <v>5.0</v>
      </c>
      <c r="W10" s="13">
        <v>12.0</v>
      </c>
      <c r="X10" s="13">
        <v>571.0</v>
      </c>
      <c r="Y10" s="13">
        <v>2.0</v>
      </c>
      <c r="Z10" s="13">
        <v>5.0</v>
      </c>
      <c r="AA10" s="13">
        <v>238.0</v>
      </c>
      <c r="AB10" s="13">
        <v>14.0</v>
      </c>
      <c r="AC10" s="13">
        <v>0.0</v>
      </c>
      <c r="AD10" s="13">
        <v>639.0</v>
      </c>
      <c r="AE10" s="13">
        <v>7.0</v>
      </c>
      <c r="AF10" s="13">
        <v>0.0</v>
      </c>
      <c r="AG10" s="13">
        <v>249.0</v>
      </c>
      <c r="AH10" s="13">
        <v>13.0</v>
      </c>
      <c r="AI10" s="13">
        <v>0.0</v>
      </c>
      <c r="AJ10" s="13">
        <v>0.0</v>
      </c>
      <c r="AK10" s="13">
        <v>7.0</v>
      </c>
      <c r="AL10" s="13">
        <v>0.0</v>
      </c>
      <c r="AM10" s="13">
        <v>0.0</v>
      </c>
    </row>
    <row r="11">
      <c r="A11" s="30" t="s">
        <v>159</v>
      </c>
      <c r="B11" s="30" t="s">
        <v>97</v>
      </c>
      <c r="C11" s="13">
        <v>5.0</v>
      </c>
      <c r="D11" s="13">
        <v>1.0</v>
      </c>
      <c r="E11" s="13">
        <v>62.0</v>
      </c>
      <c r="F11" s="13">
        <v>202.0</v>
      </c>
      <c r="G11" s="13">
        <v>27.0</v>
      </c>
      <c r="H11" s="13">
        <v>21.0</v>
      </c>
      <c r="I11" s="13">
        <v>105.0</v>
      </c>
      <c r="J11" s="13">
        <v>1.0</v>
      </c>
      <c r="K11" s="13">
        <v>43.0</v>
      </c>
      <c r="L11" s="13">
        <v>196.0</v>
      </c>
      <c r="M11" s="13">
        <v>17.0</v>
      </c>
      <c r="N11" s="13">
        <v>19.0</v>
      </c>
      <c r="O11" s="13">
        <v>110.0</v>
      </c>
      <c r="P11" s="13">
        <v>0.0</v>
      </c>
      <c r="Q11" s="13">
        <v>40.0</v>
      </c>
      <c r="R11" s="13">
        <v>230.0</v>
      </c>
      <c r="S11" s="13">
        <v>42.0</v>
      </c>
      <c r="T11" s="13">
        <v>8.0</v>
      </c>
      <c r="U11" s="13">
        <v>110.0</v>
      </c>
      <c r="V11" s="20">
        <v>29.0</v>
      </c>
      <c r="W11" s="20">
        <v>54.0</v>
      </c>
      <c r="X11" s="13">
        <v>263.0</v>
      </c>
      <c r="Y11" s="13">
        <v>35.0</v>
      </c>
      <c r="Z11" s="13">
        <v>11.0</v>
      </c>
      <c r="AA11" s="13">
        <v>114.0</v>
      </c>
      <c r="AB11" s="13">
        <v>42.0</v>
      </c>
      <c r="AC11" s="13">
        <v>1.0</v>
      </c>
      <c r="AD11" s="13">
        <v>258.0</v>
      </c>
      <c r="AE11" s="13">
        <v>27.0</v>
      </c>
      <c r="AF11" s="13">
        <v>0.0</v>
      </c>
      <c r="AG11" s="13">
        <v>140.0</v>
      </c>
      <c r="AH11" s="13">
        <v>46.0</v>
      </c>
      <c r="AI11" s="13">
        <v>0.0</v>
      </c>
      <c r="AJ11" s="13">
        <v>0.0</v>
      </c>
      <c r="AK11" s="13">
        <v>45.0</v>
      </c>
      <c r="AL11" s="13">
        <v>0.0</v>
      </c>
      <c r="AM11" s="13">
        <v>0.0</v>
      </c>
    </row>
    <row r="12">
      <c r="A12" s="30" t="s">
        <v>159</v>
      </c>
      <c r="B12" s="30" t="s">
        <v>94</v>
      </c>
      <c r="C12" s="13">
        <v>8.0</v>
      </c>
      <c r="D12" s="13">
        <v>5.0</v>
      </c>
      <c r="E12" s="13">
        <v>82.0</v>
      </c>
      <c r="F12" s="13">
        <v>226.0</v>
      </c>
      <c r="G12" s="13">
        <v>102.0</v>
      </c>
      <c r="H12" s="13">
        <v>29.0</v>
      </c>
      <c r="I12" s="13">
        <v>104.0</v>
      </c>
      <c r="J12" s="13">
        <v>1.0</v>
      </c>
      <c r="K12" s="13">
        <v>64.0</v>
      </c>
      <c r="L12" s="13">
        <v>197.0</v>
      </c>
      <c r="M12" s="13">
        <v>100.0</v>
      </c>
      <c r="N12" s="13">
        <v>29.0</v>
      </c>
      <c r="O12" s="13">
        <v>98.0</v>
      </c>
      <c r="P12" s="13">
        <v>1.0</v>
      </c>
      <c r="Q12" s="13">
        <v>50.0</v>
      </c>
      <c r="R12" s="13">
        <v>220.0</v>
      </c>
      <c r="S12" s="13">
        <v>32.0</v>
      </c>
      <c r="T12" s="13">
        <v>21.0</v>
      </c>
      <c r="U12" s="13">
        <v>85.0</v>
      </c>
      <c r="V12" s="13">
        <v>3.0</v>
      </c>
      <c r="W12" s="13">
        <v>92.0</v>
      </c>
      <c r="X12" s="13">
        <v>205.0</v>
      </c>
      <c r="Y12" s="13">
        <v>88.0</v>
      </c>
      <c r="Z12" s="13">
        <v>18.0</v>
      </c>
      <c r="AA12" s="13">
        <v>85.0</v>
      </c>
      <c r="AB12" s="13">
        <v>2.0</v>
      </c>
      <c r="AC12" s="13">
        <v>1.0</v>
      </c>
      <c r="AD12" s="13">
        <v>258.0</v>
      </c>
      <c r="AE12" s="13">
        <v>69.0</v>
      </c>
      <c r="AF12" s="13">
        <v>0.0</v>
      </c>
      <c r="AG12" s="13">
        <v>99.0</v>
      </c>
      <c r="AH12" s="13">
        <v>4.0</v>
      </c>
      <c r="AI12" s="13">
        <v>0.0</v>
      </c>
      <c r="AJ12" s="13">
        <v>0.0</v>
      </c>
      <c r="AK12" s="13">
        <v>54.0</v>
      </c>
      <c r="AL12" s="13">
        <v>0.0</v>
      </c>
      <c r="AM12" s="13">
        <v>0.0</v>
      </c>
    </row>
    <row r="13">
      <c r="A13" s="30" t="s">
        <v>160</v>
      </c>
      <c r="B13" s="30" t="s">
        <v>104</v>
      </c>
      <c r="C13" s="13">
        <v>37.0</v>
      </c>
      <c r="D13" s="13">
        <v>34.0</v>
      </c>
      <c r="E13" s="13">
        <v>62.0</v>
      </c>
      <c r="F13" s="13">
        <v>1728.0</v>
      </c>
      <c r="G13" s="13">
        <v>5.0</v>
      </c>
      <c r="H13" s="13">
        <v>7.0</v>
      </c>
      <c r="I13" s="13">
        <v>454.0</v>
      </c>
      <c r="J13" s="13">
        <v>31.0</v>
      </c>
      <c r="K13" s="13">
        <v>54.0</v>
      </c>
      <c r="L13" s="13">
        <v>1797.0</v>
      </c>
      <c r="M13" s="13">
        <v>7.0</v>
      </c>
      <c r="N13" s="13">
        <v>17.0</v>
      </c>
      <c r="O13" s="13">
        <v>456.0</v>
      </c>
      <c r="P13" s="13">
        <v>41.0</v>
      </c>
      <c r="Q13" s="13">
        <v>76.0</v>
      </c>
      <c r="R13" s="13">
        <v>1712.0</v>
      </c>
      <c r="S13" s="13">
        <v>7.0</v>
      </c>
      <c r="T13" s="13">
        <v>12.0</v>
      </c>
      <c r="U13" s="13">
        <v>415.0</v>
      </c>
      <c r="V13" s="13">
        <v>53.0</v>
      </c>
      <c r="W13" s="13">
        <v>67.0</v>
      </c>
      <c r="X13" s="13">
        <v>1824.0</v>
      </c>
      <c r="Y13" s="13">
        <v>8.0</v>
      </c>
      <c r="Z13" s="13">
        <v>12.0</v>
      </c>
      <c r="AA13" s="13">
        <v>466.0</v>
      </c>
      <c r="AB13" s="13">
        <v>58.0</v>
      </c>
      <c r="AC13" s="13">
        <v>77.0</v>
      </c>
      <c r="AD13" s="13">
        <v>1858.0</v>
      </c>
      <c r="AE13" s="13">
        <v>8.0</v>
      </c>
      <c r="AF13" s="13">
        <v>7.0</v>
      </c>
      <c r="AG13" s="13">
        <v>505.0</v>
      </c>
      <c r="AH13" s="13">
        <v>61.0</v>
      </c>
      <c r="AI13" s="13">
        <v>0.0</v>
      </c>
      <c r="AJ13" s="13">
        <v>0.0</v>
      </c>
      <c r="AK13" s="13">
        <v>9.0</v>
      </c>
      <c r="AL13" s="13">
        <v>0.0</v>
      </c>
      <c r="AM13" s="13">
        <v>0.0</v>
      </c>
    </row>
    <row r="14">
      <c r="A14" s="30" t="s">
        <v>160</v>
      </c>
      <c r="B14" s="30" t="s">
        <v>107</v>
      </c>
      <c r="C14" s="13">
        <v>30.0</v>
      </c>
      <c r="D14" s="13">
        <v>1.0</v>
      </c>
      <c r="E14" s="13">
        <v>9.0</v>
      </c>
      <c r="F14" s="13">
        <v>2299.0</v>
      </c>
      <c r="G14" s="13">
        <v>1.0</v>
      </c>
      <c r="H14" s="13">
        <v>2.0</v>
      </c>
      <c r="I14" s="13">
        <v>555.0</v>
      </c>
      <c r="J14" s="13">
        <v>2.0</v>
      </c>
      <c r="K14" s="13">
        <v>16.0</v>
      </c>
      <c r="L14" s="13">
        <v>2235.0</v>
      </c>
      <c r="M14" s="13">
        <v>1.0</v>
      </c>
      <c r="N14" s="13">
        <v>2.0</v>
      </c>
      <c r="O14" s="13">
        <v>556.0</v>
      </c>
      <c r="P14" s="13">
        <v>1.0</v>
      </c>
      <c r="Q14" s="13">
        <v>4.0</v>
      </c>
      <c r="R14" s="13">
        <v>2199.0</v>
      </c>
      <c r="S14" s="13">
        <v>3.0</v>
      </c>
      <c r="T14" s="13">
        <v>0.0</v>
      </c>
      <c r="U14" s="13">
        <v>556.0</v>
      </c>
      <c r="V14" s="13">
        <v>1.0</v>
      </c>
      <c r="W14" s="13">
        <v>2.0</v>
      </c>
      <c r="X14" s="13">
        <v>2395.0</v>
      </c>
      <c r="Y14" s="13">
        <v>1.0</v>
      </c>
      <c r="Z14" s="13">
        <v>0.0</v>
      </c>
      <c r="AA14" s="13">
        <v>543.0</v>
      </c>
      <c r="AB14" s="13">
        <v>2.0</v>
      </c>
      <c r="AC14" s="13">
        <v>2.0</v>
      </c>
      <c r="AD14" s="13">
        <v>2534.0</v>
      </c>
      <c r="AE14" s="13">
        <v>1.0</v>
      </c>
      <c r="AF14" s="13">
        <v>0.0</v>
      </c>
      <c r="AG14" s="13">
        <v>574.0</v>
      </c>
      <c r="AH14" s="13">
        <v>3.0</v>
      </c>
      <c r="AI14" s="13">
        <v>0.0</v>
      </c>
      <c r="AJ14" s="13">
        <v>0.0</v>
      </c>
      <c r="AK14" s="13">
        <v>1.0</v>
      </c>
      <c r="AL14" s="13">
        <v>0.0</v>
      </c>
      <c r="AM14" s="13">
        <v>0.0</v>
      </c>
    </row>
    <row r="15">
      <c r="A15" s="30" t="s">
        <v>160</v>
      </c>
      <c r="B15" s="30" t="s">
        <v>110</v>
      </c>
      <c r="C15" s="13">
        <v>84.0</v>
      </c>
      <c r="D15" s="13">
        <v>21.0</v>
      </c>
      <c r="E15" s="13">
        <v>123.0</v>
      </c>
      <c r="F15" s="13">
        <v>4707.0</v>
      </c>
      <c r="G15" s="13">
        <v>3.0</v>
      </c>
      <c r="H15" s="13">
        <v>19.0</v>
      </c>
      <c r="I15" s="13">
        <v>943.0</v>
      </c>
      <c r="J15" s="13">
        <v>11.0</v>
      </c>
      <c r="K15" s="13">
        <v>95.0</v>
      </c>
      <c r="L15" s="13">
        <v>4532.0</v>
      </c>
      <c r="M15" s="13">
        <v>1.0</v>
      </c>
      <c r="N15" s="13">
        <v>24.0</v>
      </c>
      <c r="O15" s="13">
        <v>1027.0</v>
      </c>
      <c r="P15" s="13">
        <v>23.0</v>
      </c>
      <c r="Q15" s="13">
        <v>126.0</v>
      </c>
      <c r="R15" s="13">
        <v>4723.0</v>
      </c>
      <c r="S15" s="13">
        <v>2.0</v>
      </c>
      <c r="T15" s="13">
        <v>11.0</v>
      </c>
      <c r="U15" s="13">
        <v>1044.0</v>
      </c>
      <c r="V15" s="13">
        <v>13.0</v>
      </c>
      <c r="W15" s="13">
        <v>149.0</v>
      </c>
      <c r="X15" s="13">
        <v>4900.0</v>
      </c>
      <c r="Y15" s="13">
        <v>7.0</v>
      </c>
      <c r="Z15" s="13">
        <v>20.0</v>
      </c>
      <c r="AA15" s="13">
        <v>1107.0</v>
      </c>
      <c r="AB15" s="13">
        <v>3.0</v>
      </c>
      <c r="AC15" s="13">
        <v>78.0</v>
      </c>
      <c r="AD15" s="13">
        <v>5039.0</v>
      </c>
      <c r="AE15" s="13">
        <v>9.0</v>
      </c>
      <c r="AF15" s="13">
        <v>7.0</v>
      </c>
      <c r="AG15" s="13">
        <v>1113.0</v>
      </c>
      <c r="AH15" s="13">
        <v>5.0</v>
      </c>
      <c r="AI15" s="13">
        <v>0.0</v>
      </c>
      <c r="AJ15" s="13">
        <v>0.0</v>
      </c>
      <c r="AK15" s="13">
        <v>16.0</v>
      </c>
      <c r="AL15" s="13">
        <v>0.0</v>
      </c>
      <c r="AM15" s="13">
        <v>0.0</v>
      </c>
    </row>
    <row r="16">
      <c r="A16" s="30" t="s">
        <v>161</v>
      </c>
      <c r="B16" s="30" t="s">
        <v>114</v>
      </c>
      <c r="C16" s="13">
        <v>29.0</v>
      </c>
      <c r="D16" s="13">
        <v>86.0</v>
      </c>
      <c r="E16" s="13">
        <v>94.0</v>
      </c>
      <c r="F16" s="13">
        <v>1015.0</v>
      </c>
      <c r="G16" s="13">
        <v>132.0</v>
      </c>
      <c r="H16" s="13">
        <v>50.0</v>
      </c>
      <c r="I16" s="13">
        <v>338.0</v>
      </c>
      <c r="J16" s="13">
        <v>77.0</v>
      </c>
      <c r="K16" s="13">
        <v>73.0</v>
      </c>
      <c r="L16" s="13">
        <v>1005.0</v>
      </c>
      <c r="M16" s="13">
        <v>143.0</v>
      </c>
      <c r="N16" s="13">
        <v>49.0</v>
      </c>
      <c r="O16" s="13">
        <v>345.0</v>
      </c>
      <c r="P16" s="13">
        <v>48.0</v>
      </c>
      <c r="Q16" s="13">
        <v>74.0</v>
      </c>
      <c r="R16" s="13">
        <v>1115.0</v>
      </c>
      <c r="S16" s="13">
        <v>79.0</v>
      </c>
      <c r="T16" s="13">
        <v>25.0</v>
      </c>
      <c r="U16" s="13">
        <v>379.0</v>
      </c>
      <c r="V16" s="13">
        <v>138.0</v>
      </c>
      <c r="W16" s="13">
        <v>38.0</v>
      </c>
      <c r="X16" s="13">
        <v>1176.0</v>
      </c>
      <c r="Y16" s="13">
        <v>233.0</v>
      </c>
      <c r="Z16" s="13">
        <v>8.0</v>
      </c>
      <c r="AA16" s="13">
        <v>343.0</v>
      </c>
      <c r="AB16" s="13">
        <v>99.0</v>
      </c>
      <c r="AC16" s="13">
        <v>0.0</v>
      </c>
      <c r="AD16" s="13">
        <v>1248.0</v>
      </c>
      <c r="AE16" s="13">
        <v>165.0</v>
      </c>
      <c r="AF16" s="13">
        <v>0.0</v>
      </c>
      <c r="AG16" s="13">
        <v>381.0</v>
      </c>
      <c r="AH16" s="13">
        <v>106.0</v>
      </c>
      <c r="AI16" s="13">
        <v>0.0</v>
      </c>
      <c r="AJ16" s="13">
        <v>0.0</v>
      </c>
      <c r="AK16" s="13">
        <v>143.0</v>
      </c>
      <c r="AL16" s="13">
        <v>0.0</v>
      </c>
      <c r="AM16" s="13">
        <v>0.0</v>
      </c>
    </row>
    <row r="17">
      <c r="A17" s="30" t="s">
        <v>161</v>
      </c>
      <c r="B17" s="30" t="s">
        <v>117</v>
      </c>
      <c r="C17" s="13">
        <v>19.0</v>
      </c>
      <c r="D17" s="13">
        <v>6.0</v>
      </c>
      <c r="E17" s="13">
        <v>21.0</v>
      </c>
      <c r="F17" s="13">
        <v>673.0</v>
      </c>
      <c r="G17" s="13">
        <v>20.0</v>
      </c>
      <c r="H17" s="13">
        <v>5.0</v>
      </c>
      <c r="I17" s="13">
        <v>222.0</v>
      </c>
      <c r="J17" s="13">
        <v>7.0</v>
      </c>
      <c r="K17" s="13">
        <v>32.0</v>
      </c>
      <c r="L17" s="13">
        <v>677.0</v>
      </c>
      <c r="M17" s="13">
        <v>25.0</v>
      </c>
      <c r="N17" s="13">
        <v>11.0</v>
      </c>
      <c r="O17" s="13">
        <v>209.0</v>
      </c>
      <c r="P17" s="13">
        <v>12.0</v>
      </c>
      <c r="Q17" s="13">
        <v>36.0</v>
      </c>
      <c r="R17" s="13">
        <v>694.0</v>
      </c>
      <c r="S17" s="13">
        <v>20.0</v>
      </c>
      <c r="T17" s="13">
        <v>7.0</v>
      </c>
      <c r="U17" s="13">
        <v>225.0</v>
      </c>
      <c r="V17" s="13">
        <v>15.0</v>
      </c>
      <c r="W17" s="13">
        <v>36.0</v>
      </c>
      <c r="X17" s="13">
        <v>757.0</v>
      </c>
      <c r="Y17" s="13">
        <v>23.0</v>
      </c>
      <c r="Z17" s="13">
        <v>2.0</v>
      </c>
      <c r="AA17" s="13">
        <v>237.0</v>
      </c>
      <c r="AB17" s="13">
        <v>11.0</v>
      </c>
      <c r="AC17" s="13">
        <v>0.0</v>
      </c>
      <c r="AD17" s="13">
        <v>837.0</v>
      </c>
      <c r="AE17" s="13">
        <v>22.0</v>
      </c>
      <c r="AF17" s="13">
        <v>0.0</v>
      </c>
      <c r="AG17" s="13">
        <v>269.0</v>
      </c>
      <c r="AH17" s="13">
        <v>11.0</v>
      </c>
      <c r="AI17" s="13">
        <v>0.0</v>
      </c>
      <c r="AJ17" s="13">
        <v>0.0</v>
      </c>
      <c r="AK17" s="13">
        <v>26.0</v>
      </c>
      <c r="AL17" s="13">
        <v>0.0</v>
      </c>
      <c r="AM17" s="13">
        <v>0.0</v>
      </c>
    </row>
    <row r="18">
      <c r="A18" s="30" t="s">
        <v>161</v>
      </c>
      <c r="B18" s="30" t="s">
        <v>120</v>
      </c>
      <c r="C18" s="13">
        <v>31.0</v>
      </c>
      <c r="D18" s="13">
        <v>15.0</v>
      </c>
      <c r="E18" s="13">
        <v>32.0</v>
      </c>
      <c r="F18" s="13">
        <v>1428.0</v>
      </c>
      <c r="G18" s="13">
        <v>45.0</v>
      </c>
      <c r="H18" s="13">
        <v>10.0</v>
      </c>
      <c r="I18" s="13">
        <v>408.0</v>
      </c>
      <c r="J18" s="13">
        <v>8.0</v>
      </c>
      <c r="K18" s="13">
        <v>24.0</v>
      </c>
      <c r="L18" s="13">
        <v>1388.0</v>
      </c>
      <c r="M18" s="13">
        <v>29.0</v>
      </c>
      <c r="N18" s="13">
        <v>16.0</v>
      </c>
      <c r="O18" s="13">
        <v>398.0</v>
      </c>
      <c r="P18" s="13">
        <v>17.0</v>
      </c>
      <c r="Q18" s="13">
        <v>28.0</v>
      </c>
      <c r="R18" s="13">
        <v>1377.0</v>
      </c>
      <c r="S18" s="13">
        <v>26.0</v>
      </c>
      <c r="T18" s="13">
        <v>14.0</v>
      </c>
      <c r="U18" s="13">
        <v>385.0</v>
      </c>
      <c r="V18" s="13">
        <v>23.0</v>
      </c>
      <c r="W18" s="13">
        <v>25.0</v>
      </c>
      <c r="X18" s="13">
        <v>1461.0</v>
      </c>
      <c r="Y18" s="13">
        <v>55.0</v>
      </c>
      <c r="Z18" s="13">
        <v>18.0</v>
      </c>
      <c r="AA18" s="13">
        <v>448.0</v>
      </c>
      <c r="AB18" s="13">
        <v>14.0</v>
      </c>
      <c r="AC18" s="13">
        <v>20.0</v>
      </c>
      <c r="AD18" s="13">
        <v>1549.0</v>
      </c>
      <c r="AE18" s="13">
        <v>34.0</v>
      </c>
      <c r="AF18" s="13">
        <v>7.0</v>
      </c>
      <c r="AG18" s="13">
        <v>429.0</v>
      </c>
      <c r="AH18" s="13">
        <v>13.0</v>
      </c>
      <c r="AI18" s="13">
        <v>0.0</v>
      </c>
      <c r="AJ18" s="13">
        <v>0.0</v>
      </c>
      <c r="AK18" s="13">
        <v>16.0</v>
      </c>
      <c r="AL18" s="13">
        <v>0.0</v>
      </c>
      <c r="AM18" s="13">
        <v>0.0</v>
      </c>
    </row>
    <row r="19">
      <c r="C19" s="13"/>
      <c r="D19" s="13"/>
      <c r="E19" s="13"/>
      <c r="F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</row>
    <row r="20">
      <c r="C20" s="13"/>
      <c r="D20" s="13"/>
      <c r="E20" s="13"/>
      <c r="F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ht="15.75" customHeight="1">
      <c r="C21" s="13"/>
      <c r="D21" s="13"/>
      <c r="E21" s="13"/>
      <c r="F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</row>
    <row r="22" ht="15.75" customHeight="1">
      <c r="C22" s="13"/>
      <c r="D22" s="13"/>
      <c r="E22" s="13"/>
      <c r="F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 ht="15.75" customHeight="1">
      <c r="C23" s="13"/>
      <c r="D23" s="13"/>
      <c r="E23" s="13"/>
      <c r="F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</row>
    <row r="24" ht="15.75" customHeight="1">
      <c r="C24" s="13"/>
      <c r="D24" s="13"/>
      <c r="E24" s="13"/>
      <c r="F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</row>
    <row r="25" ht="15.75" customHeight="1">
      <c r="C25" s="13"/>
      <c r="D25" s="13"/>
      <c r="E25" s="13"/>
      <c r="F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</row>
    <row r="26" ht="15.75" customHeight="1">
      <c r="C26" s="13"/>
      <c r="D26" s="13"/>
      <c r="E26" s="13"/>
      <c r="F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</row>
    <row r="27" ht="15.75" customHeight="1">
      <c r="C27" s="13"/>
      <c r="D27" s="13"/>
      <c r="E27" s="13"/>
      <c r="F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</row>
    <row r="28" ht="15.75" customHeight="1">
      <c r="C28" s="13"/>
      <c r="D28" s="13"/>
      <c r="E28" s="13"/>
      <c r="F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</row>
    <row r="29" ht="15.75" customHeight="1">
      <c r="C29" s="13"/>
      <c r="D29" s="13"/>
      <c r="E29" s="13"/>
      <c r="F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</row>
    <row r="30" ht="15.75" customHeight="1">
      <c r="C30" s="13"/>
      <c r="D30" s="13"/>
      <c r="E30" s="13"/>
      <c r="F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</row>
    <row r="31" ht="15.75" customHeight="1">
      <c r="C31" s="13"/>
      <c r="D31" s="13"/>
      <c r="E31" s="13"/>
      <c r="F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</row>
    <row r="32" ht="15.75" customHeight="1">
      <c r="C32" s="13"/>
      <c r="D32" s="13"/>
      <c r="E32" s="13"/>
      <c r="F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ht="15.75" customHeight="1">
      <c r="C33" s="13"/>
      <c r="D33" s="13"/>
      <c r="E33" s="13"/>
      <c r="F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</row>
    <row r="34" ht="15.75" customHeight="1">
      <c r="C34" s="13"/>
      <c r="D34" s="13"/>
      <c r="E34" s="13"/>
      <c r="F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 ht="15.75" customHeight="1">
      <c r="C35" s="13"/>
      <c r="D35" s="13"/>
      <c r="E35" s="13"/>
      <c r="F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 ht="15.75" customHeight="1">
      <c r="C36" s="13"/>
      <c r="D36" s="13"/>
      <c r="E36" s="13"/>
      <c r="F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</row>
    <row r="37" ht="15.75" customHeight="1">
      <c r="C37" s="13"/>
      <c r="D37" s="13"/>
      <c r="E37" s="13"/>
      <c r="F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</row>
    <row r="38" ht="15.75" customHeight="1">
      <c r="C38" s="13"/>
      <c r="D38" s="13"/>
      <c r="E38" s="13"/>
      <c r="F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</row>
    <row r="39" ht="15.75" customHeight="1">
      <c r="C39" s="13"/>
      <c r="D39" s="13"/>
      <c r="E39" s="13"/>
      <c r="F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</row>
    <row r="40" ht="15.75" customHeight="1">
      <c r="C40" s="13"/>
      <c r="D40" s="13"/>
      <c r="E40" s="13"/>
      <c r="F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</row>
    <row r="41" ht="15.75" customHeight="1">
      <c r="C41" s="13"/>
      <c r="D41" s="13"/>
      <c r="E41" s="13"/>
      <c r="F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</row>
    <row r="42" ht="15.75" customHeight="1">
      <c r="C42" s="13"/>
      <c r="D42" s="13"/>
      <c r="E42" s="13"/>
      <c r="F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</row>
    <row r="43" ht="15.75" customHeight="1">
      <c r="C43" s="13"/>
      <c r="D43" s="13"/>
      <c r="E43" s="13"/>
      <c r="F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</row>
    <row r="44" ht="15.75" customHeight="1">
      <c r="C44" s="13"/>
      <c r="D44" s="13"/>
      <c r="E44" s="13"/>
      <c r="F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</row>
    <row r="45" ht="15.75" customHeight="1">
      <c r="C45" s="13"/>
      <c r="D45" s="13"/>
      <c r="E45" s="13"/>
      <c r="F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</row>
    <row r="46" ht="15.75" customHeight="1">
      <c r="C46" s="13"/>
      <c r="D46" s="13"/>
      <c r="E46" s="13"/>
      <c r="F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</row>
    <row r="47" ht="15.75" customHeight="1">
      <c r="C47" s="13"/>
      <c r="D47" s="13"/>
      <c r="E47" s="13"/>
      <c r="F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 ht="15.75" customHeight="1">
      <c r="C48" s="13"/>
      <c r="D48" s="13"/>
      <c r="E48" s="13"/>
      <c r="F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</row>
    <row r="49" ht="15.75" customHeight="1">
      <c r="C49" s="13"/>
      <c r="D49" s="13"/>
      <c r="E49" s="13"/>
      <c r="F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</row>
    <row r="50" ht="15.75" customHeight="1">
      <c r="C50" s="13"/>
      <c r="D50" s="13"/>
      <c r="E50" s="13"/>
      <c r="F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</row>
    <row r="51" ht="15.75" customHeight="1">
      <c r="C51" s="13"/>
      <c r="D51" s="13"/>
      <c r="E51" s="13"/>
      <c r="F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</row>
    <row r="52" ht="15.75" customHeight="1">
      <c r="C52" s="13"/>
      <c r="D52" s="13"/>
      <c r="E52" s="13"/>
      <c r="F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</row>
    <row r="53" ht="15.75" customHeight="1">
      <c r="C53" s="13"/>
      <c r="D53" s="13"/>
      <c r="E53" s="13"/>
      <c r="F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</row>
    <row r="54" ht="15.75" customHeight="1">
      <c r="C54" s="13"/>
      <c r="D54" s="13"/>
      <c r="E54" s="13"/>
      <c r="F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</row>
    <row r="55" ht="15.75" customHeight="1">
      <c r="C55" s="13"/>
      <c r="D55" s="13"/>
      <c r="E55" s="13"/>
      <c r="F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</row>
    <row r="56" ht="15.75" customHeight="1">
      <c r="C56" s="13"/>
      <c r="D56" s="13"/>
      <c r="E56" s="13"/>
      <c r="F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</row>
    <row r="57" ht="15.75" customHeight="1">
      <c r="C57" s="13"/>
      <c r="D57" s="13"/>
      <c r="E57" s="13"/>
      <c r="F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</row>
    <row r="58" ht="15.75" customHeight="1">
      <c r="C58" s="13"/>
      <c r="D58" s="13"/>
      <c r="E58" s="13"/>
      <c r="F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</row>
    <row r="59" ht="15.75" customHeight="1">
      <c r="C59" s="13"/>
      <c r="D59" s="13"/>
      <c r="E59" s="13"/>
      <c r="F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</row>
    <row r="60" ht="15.75" customHeight="1">
      <c r="C60" s="13"/>
      <c r="D60" s="13"/>
      <c r="E60" s="13"/>
      <c r="F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</row>
    <row r="61" ht="15.75" customHeight="1">
      <c r="C61" s="13"/>
      <c r="D61" s="13"/>
      <c r="E61" s="13"/>
      <c r="F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</row>
    <row r="62" ht="15.75" customHeight="1">
      <c r="C62" s="13"/>
      <c r="D62" s="13"/>
      <c r="E62" s="13"/>
      <c r="F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</row>
    <row r="63" ht="15.75" customHeight="1">
      <c r="C63" s="13"/>
      <c r="D63" s="13"/>
      <c r="E63" s="13"/>
      <c r="F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</row>
    <row r="64" ht="15.75" customHeight="1">
      <c r="C64" s="13"/>
      <c r="D64" s="13"/>
      <c r="E64" s="13"/>
      <c r="F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</row>
    <row r="65" ht="15.75" customHeight="1">
      <c r="C65" s="13"/>
      <c r="D65" s="13"/>
      <c r="E65" s="13"/>
      <c r="F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</row>
    <row r="66" ht="15.75" customHeight="1">
      <c r="C66" s="13"/>
      <c r="D66" s="13"/>
      <c r="E66" s="13"/>
      <c r="F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</row>
    <row r="67" ht="15.75" customHeight="1">
      <c r="C67" s="13"/>
      <c r="D67" s="13"/>
      <c r="E67" s="13"/>
      <c r="F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</row>
    <row r="68" ht="15.75" customHeight="1">
      <c r="C68" s="13"/>
      <c r="D68" s="13"/>
      <c r="E68" s="13"/>
      <c r="F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</row>
    <row r="69" ht="15.75" customHeight="1">
      <c r="C69" s="13"/>
      <c r="D69" s="13"/>
      <c r="E69" s="13"/>
      <c r="F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</row>
    <row r="70" ht="15.75" customHeight="1">
      <c r="C70" s="13"/>
      <c r="D70" s="13"/>
      <c r="E70" s="13"/>
      <c r="F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</row>
    <row r="71" ht="15.75" customHeight="1">
      <c r="C71" s="13"/>
      <c r="D71" s="13"/>
      <c r="E71" s="13"/>
      <c r="F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</row>
    <row r="72" ht="15.75" customHeight="1">
      <c r="C72" s="13"/>
      <c r="D72" s="13"/>
      <c r="E72" s="13"/>
      <c r="F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</row>
    <row r="73" ht="15.75" customHeight="1">
      <c r="C73" s="13"/>
      <c r="D73" s="13"/>
      <c r="E73" s="13"/>
      <c r="F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</row>
    <row r="74" ht="15.75" customHeight="1">
      <c r="C74" s="13"/>
      <c r="D74" s="13"/>
      <c r="E74" s="13"/>
      <c r="F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</row>
    <row r="75" ht="15.75" customHeight="1">
      <c r="C75" s="13"/>
      <c r="D75" s="13"/>
      <c r="E75" s="13"/>
      <c r="F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</row>
    <row r="76" ht="15.75" customHeight="1">
      <c r="C76" s="13"/>
      <c r="D76" s="13"/>
      <c r="E76" s="13"/>
      <c r="F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</row>
    <row r="77" ht="15.75" customHeight="1">
      <c r="C77" s="13"/>
      <c r="D77" s="13"/>
      <c r="E77" s="13"/>
      <c r="F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</row>
    <row r="78" ht="15.75" customHeight="1">
      <c r="C78" s="13"/>
      <c r="D78" s="13"/>
      <c r="E78" s="13"/>
      <c r="F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</row>
    <row r="79" ht="15.75" customHeight="1">
      <c r="C79" s="13"/>
      <c r="D79" s="13"/>
      <c r="E79" s="13"/>
      <c r="F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</row>
    <row r="80" ht="15.75" customHeight="1">
      <c r="C80" s="13"/>
      <c r="D80" s="13"/>
      <c r="E80" s="13"/>
      <c r="F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</row>
    <row r="81" ht="15.75" customHeight="1">
      <c r="C81" s="13"/>
      <c r="D81" s="13"/>
      <c r="E81" s="13"/>
      <c r="F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</row>
    <row r="82" ht="15.75" customHeight="1">
      <c r="C82" s="13"/>
      <c r="D82" s="13"/>
      <c r="E82" s="13"/>
      <c r="F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</row>
    <row r="83" ht="15.75" customHeight="1">
      <c r="C83" s="13"/>
      <c r="D83" s="13"/>
      <c r="E83" s="13"/>
      <c r="F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</row>
    <row r="84" ht="15.75" customHeight="1">
      <c r="C84" s="13"/>
      <c r="D84" s="13"/>
      <c r="E84" s="13"/>
      <c r="F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</row>
    <row r="85" ht="15.75" customHeight="1">
      <c r="C85" s="13"/>
      <c r="D85" s="13"/>
      <c r="E85" s="13"/>
      <c r="F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</row>
    <row r="86" ht="15.75" customHeight="1">
      <c r="C86" s="13"/>
      <c r="D86" s="13"/>
      <c r="E86" s="13"/>
      <c r="F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</row>
    <row r="87" ht="15.75" customHeight="1">
      <c r="C87" s="13"/>
      <c r="D87" s="13"/>
      <c r="E87" s="13"/>
      <c r="F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</row>
    <row r="88" ht="15.75" customHeight="1">
      <c r="C88" s="13"/>
      <c r="D88" s="13"/>
      <c r="E88" s="13"/>
      <c r="F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</row>
    <row r="89" ht="15.75" customHeight="1">
      <c r="C89" s="13"/>
      <c r="D89" s="13"/>
      <c r="E89" s="13"/>
      <c r="F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</row>
    <row r="90" ht="15.75" customHeight="1">
      <c r="C90" s="13"/>
      <c r="D90" s="13"/>
      <c r="E90" s="13"/>
      <c r="F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</row>
    <row r="91" ht="15.75" customHeight="1">
      <c r="C91" s="13"/>
      <c r="D91" s="13"/>
      <c r="E91" s="13"/>
      <c r="F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</row>
    <row r="92" ht="15.75" customHeight="1">
      <c r="C92" s="13"/>
      <c r="D92" s="13"/>
      <c r="E92" s="13"/>
      <c r="F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</row>
    <row r="93" ht="15.75" customHeight="1">
      <c r="C93" s="13"/>
      <c r="D93" s="13"/>
      <c r="E93" s="13"/>
      <c r="F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</row>
    <row r="94" ht="15.75" customHeight="1">
      <c r="C94" s="13"/>
      <c r="D94" s="13"/>
      <c r="E94" s="13"/>
      <c r="F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</row>
    <row r="95" ht="15.75" customHeight="1">
      <c r="C95" s="13"/>
      <c r="D95" s="13"/>
      <c r="E95" s="13"/>
      <c r="F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</row>
    <row r="96" ht="15.75" customHeight="1">
      <c r="C96" s="13"/>
      <c r="D96" s="13"/>
      <c r="E96" s="13"/>
      <c r="F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</row>
    <row r="97" ht="15.75" customHeight="1">
      <c r="C97" s="13"/>
      <c r="D97" s="13"/>
      <c r="E97" s="13"/>
      <c r="F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</row>
    <row r="98" ht="15.75" customHeight="1">
      <c r="C98" s="13"/>
      <c r="D98" s="13"/>
      <c r="E98" s="13"/>
      <c r="F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</row>
    <row r="99" ht="15.75" customHeight="1">
      <c r="C99" s="13"/>
      <c r="D99" s="13"/>
      <c r="E99" s="13"/>
      <c r="F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</row>
    <row r="100" ht="15.75" customHeight="1">
      <c r="C100" s="13"/>
      <c r="D100" s="13"/>
      <c r="E100" s="13"/>
      <c r="F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</row>
    <row r="101" ht="15.75" customHeight="1">
      <c r="C101" s="13"/>
      <c r="D101" s="13"/>
      <c r="E101" s="13"/>
      <c r="F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</row>
    <row r="102" ht="15.75" customHeight="1">
      <c r="C102" s="13"/>
      <c r="D102" s="13"/>
      <c r="E102" s="13"/>
      <c r="F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</row>
    <row r="103" ht="15.75" customHeight="1">
      <c r="C103" s="13"/>
      <c r="D103" s="13"/>
      <c r="E103" s="13"/>
      <c r="F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</row>
    <row r="104" ht="15.75" customHeight="1">
      <c r="C104" s="13"/>
      <c r="D104" s="13"/>
      <c r="E104" s="13"/>
      <c r="F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 ht="15.75" customHeight="1">
      <c r="C105" s="13"/>
      <c r="D105" s="13"/>
      <c r="E105" s="13"/>
      <c r="F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</row>
    <row r="106" ht="15.75" customHeight="1">
      <c r="C106" s="13"/>
      <c r="D106" s="13"/>
      <c r="E106" s="13"/>
      <c r="F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</row>
    <row r="107" ht="15.75" customHeight="1">
      <c r="C107" s="13"/>
      <c r="D107" s="13"/>
      <c r="E107" s="13"/>
      <c r="F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</row>
    <row r="108" ht="15.75" customHeight="1">
      <c r="C108" s="13"/>
      <c r="D108" s="13"/>
      <c r="E108" s="13"/>
      <c r="F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</row>
    <row r="109" ht="15.75" customHeight="1">
      <c r="C109" s="13"/>
      <c r="D109" s="13"/>
      <c r="E109" s="13"/>
      <c r="F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</row>
    <row r="110" ht="15.75" customHeight="1">
      <c r="C110" s="13"/>
      <c r="D110" s="13"/>
      <c r="E110" s="13"/>
      <c r="F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</row>
    <row r="111" ht="15.75" customHeight="1">
      <c r="C111" s="13"/>
      <c r="D111" s="13"/>
      <c r="E111" s="13"/>
      <c r="F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</row>
    <row r="112" ht="15.75" customHeight="1">
      <c r="C112" s="13"/>
      <c r="D112" s="13"/>
      <c r="E112" s="13"/>
      <c r="F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</row>
    <row r="113" ht="15.75" customHeight="1">
      <c r="C113" s="13"/>
      <c r="D113" s="13"/>
      <c r="E113" s="13"/>
      <c r="F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</row>
    <row r="114" ht="15.75" customHeight="1">
      <c r="C114" s="13"/>
      <c r="D114" s="13"/>
      <c r="E114" s="13"/>
      <c r="F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</row>
    <row r="115" ht="15.75" customHeight="1">
      <c r="C115" s="13"/>
      <c r="D115" s="13"/>
      <c r="E115" s="13"/>
      <c r="F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</row>
    <row r="116" ht="15.75" customHeight="1">
      <c r="C116" s="13"/>
      <c r="D116" s="13"/>
      <c r="E116" s="13"/>
      <c r="F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</row>
    <row r="117" ht="15.75" customHeight="1">
      <c r="C117" s="13"/>
      <c r="D117" s="13"/>
      <c r="E117" s="13"/>
      <c r="F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</row>
    <row r="118" ht="15.75" customHeight="1">
      <c r="C118" s="13"/>
      <c r="D118" s="13"/>
      <c r="E118" s="13"/>
      <c r="F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</row>
    <row r="119" ht="15.75" customHeight="1">
      <c r="C119" s="13"/>
      <c r="D119" s="13"/>
      <c r="E119" s="13"/>
      <c r="F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</row>
    <row r="120" ht="15.75" customHeight="1">
      <c r="C120" s="13"/>
      <c r="D120" s="13"/>
      <c r="E120" s="13"/>
      <c r="F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</row>
    <row r="121" ht="15.75" customHeight="1">
      <c r="C121" s="13"/>
      <c r="D121" s="13"/>
      <c r="E121" s="13"/>
      <c r="F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</row>
    <row r="122" ht="15.75" customHeight="1">
      <c r="C122" s="13"/>
      <c r="D122" s="13"/>
      <c r="E122" s="13"/>
      <c r="F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</row>
    <row r="123" ht="15.75" customHeight="1">
      <c r="C123" s="13"/>
      <c r="D123" s="13"/>
      <c r="E123" s="13"/>
      <c r="F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</row>
    <row r="124" ht="15.75" customHeight="1">
      <c r="C124" s="13"/>
      <c r="D124" s="13"/>
      <c r="E124" s="13"/>
      <c r="F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</row>
    <row r="125" ht="15.75" customHeight="1">
      <c r="C125" s="13"/>
      <c r="D125" s="13"/>
      <c r="E125" s="13"/>
      <c r="F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</row>
    <row r="126" ht="15.75" customHeight="1">
      <c r="C126" s="13"/>
      <c r="D126" s="13"/>
      <c r="E126" s="13"/>
      <c r="F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</row>
    <row r="127" ht="15.75" customHeight="1">
      <c r="C127" s="13"/>
      <c r="D127" s="13"/>
      <c r="E127" s="13"/>
      <c r="F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</row>
    <row r="128" ht="15.75" customHeight="1">
      <c r="C128" s="13"/>
      <c r="D128" s="13"/>
      <c r="E128" s="13"/>
      <c r="F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</row>
    <row r="129" ht="15.75" customHeight="1">
      <c r="C129" s="13"/>
      <c r="D129" s="13"/>
      <c r="E129" s="13"/>
      <c r="F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</row>
    <row r="130" ht="15.75" customHeight="1">
      <c r="C130" s="13"/>
      <c r="D130" s="13"/>
      <c r="E130" s="13"/>
      <c r="F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</row>
    <row r="131" ht="15.75" customHeight="1">
      <c r="C131" s="13"/>
      <c r="D131" s="13"/>
      <c r="E131" s="13"/>
      <c r="F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</row>
    <row r="132" ht="15.75" customHeight="1">
      <c r="C132" s="13"/>
      <c r="D132" s="13"/>
      <c r="E132" s="13"/>
      <c r="F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</row>
    <row r="133" ht="15.75" customHeight="1">
      <c r="C133" s="13"/>
      <c r="D133" s="13"/>
      <c r="E133" s="13"/>
      <c r="F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</row>
    <row r="134" ht="15.75" customHeight="1">
      <c r="C134" s="13"/>
      <c r="D134" s="13"/>
      <c r="E134" s="13"/>
      <c r="F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</row>
    <row r="135" ht="15.75" customHeight="1">
      <c r="C135" s="13"/>
      <c r="D135" s="13"/>
      <c r="E135" s="13"/>
      <c r="F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</row>
    <row r="136" ht="15.75" customHeight="1">
      <c r="C136" s="13"/>
      <c r="D136" s="13"/>
      <c r="E136" s="13"/>
      <c r="F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</row>
    <row r="137" ht="15.75" customHeight="1">
      <c r="C137" s="13"/>
      <c r="D137" s="13"/>
      <c r="E137" s="13"/>
      <c r="F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</row>
    <row r="138" ht="15.75" customHeight="1">
      <c r="C138" s="13"/>
      <c r="D138" s="13"/>
      <c r="E138" s="13"/>
      <c r="F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</row>
    <row r="139" ht="15.75" customHeight="1">
      <c r="C139" s="13"/>
      <c r="D139" s="13"/>
      <c r="E139" s="13"/>
      <c r="F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</row>
    <row r="140" ht="15.75" customHeight="1">
      <c r="C140" s="13"/>
      <c r="D140" s="13"/>
      <c r="E140" s="13"/>
      <c r="F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</row>
    <row r="141" ht="15.75" customHeight="1">
      <c r="C141" s="13"/>
      <c r="D141" s="13"/>
      <c r="E141" s="13"/>
      <c r="F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</row>
    <row r="142" ht="15.75" customHeight="1">
      <c r="C142" s="13"/>
      <c r="D142" s="13"/>
      <c r="E142" s="13"/>
      <c r="F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</row>
    <row r="143" ht="15.75" customHeight="1">
      <c r="C143" s="13"/>
      <c r="D143" s="13"/>
      <c r="E143" s="13"/>
      <c r="F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</row>
    <row r="144" ht="15.75" customHeight="1">
      <c r="C144" s="13"/>
      <c r="D144" s="13"/>
      <c r="E144" s="13"/>
      <c r="F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</row>
    <row r="145" ht="15.75" customHeight="1">
      <c r="C145" s="13"/>
      <c r="D145" s="13"/>
      <c r="E145" s="13"/>
      <c r="F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</row>
    <row r="146" ht="15.75" customHeight="1">
      <c r="C146" s="13"/>
      <c r="D146" s="13"/>
      <c r="E146" s="13"/>
      <c r="F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</row>
    <row r="147" ht="15.75" customHeight="1">
      <c r="C147" s="13"/>
      <c r="D147" s="13"/>
      <c r="E147" s="13"/>
      <c r="F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</row>
    <row r="148" ht="15.75" customHeight="1">
      <c r="C148" s="13"/>
      <c r="D148" s="13"/>
      <c r="E148" s="13"/>
      <c r="F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</row>
    <row r="149" ht="15.75" customHeight="1">
      <c r="C149" s="13"/>
      <c r="D149" s="13"/>
      <c r="E149" s="13"/>
      <c r="F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</row>
    <row r="150" ht="15.75" customHeight="1">
      <c r="C150" s="13"/>
      <c r="D150" s="13"/>
      <c r="E150" s="13"/>
      <c r="F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</row>
    <row r="151" ht="15.75" customHeight="1">
      <c r="C151" s="13"/>
      <c r="D151" s="13"/>
      <c r="E151" s="13"/>
      <c r="F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</row>
    <row r="152" ht="15.75" customHeight="1">
      <c r="C152" s="13"/>
      <c r="D152" s="13"/>
      <c r="E152" s="13"/>
      <c r="F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</row>
    <row r="153" ht="15.75" customHeight="1">
      <c r="C153" s="13"/>
      <c r="D153" s="13"/>
      <c r="E153" s="13"/>
      <c r="F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</row>
    <row r="154" ht="15.75" customHeight="1">
      <c r="C154" s="13"/>
      <c r="D154" s="13"/>
      <c r="E154" s="13"/>
      <c r="F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</row>
    <row r="155" ht="15.75" customHeight="1">
      <c r="C155" s="13"/>
      <c r="D155" s="13"/>
      <c r="E155" s="13"/>
      <c r="F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</row>
    <row r="156" ht="15.75" customHeight="1">
      <c r="C156" s="13"/>
      <c r="D156" s="13"/>
      <c r="E156" s="13"/>
      <c r="F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</row>
    <row r="157" ht="15.75" customHeight="1">
      <c r="C157" s="13"/>
      <c r="D157" s="13"/>
      <c r="E157" s="13"/>
      <c r="F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</row>
    <row r="158" ht="15.75" customHeight="1">
      <c r="C158" s="13"/>
      <c r="D158" s="13"/>
      <c r="E158" s="13"/>
      <c r="F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</row>
    <row r="159" ht="15.75" customHeight="1">
      <c r="C159" s="13"/>
      <c r="D159" s="13"/>
      <c r="E159" s="13"/>
      <c r="F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</row>
    <row r="160" ht="15.75" customHeight="1">
      <c r="C160" s="13"/>
      <c r="D160" s="13"/>
      <c r="E160" s="13"/>
      <c r="F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</row>
    <row r="161" ht="15.75" customHeight="1">
      <c r="C161" s="13"/>
      <c r="D161" s="13"/>
      <c r="E161" s="13"/>
      <c r="F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</row>
    <row r="162" ht="15.75" customHeight="1">
      <c r="C162" s="13"/>
      <c r="D162" s="13"/>
      <c r="E162" s="13"/>
      <c r="F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</row>
    <row r="163" ht="15.75" customHeight="1">
      <c r="C163" s="13"/>
      <c r="D163" s="13"/>
      <c r="E163" s="13"/>
      <c r="F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</row>
    <row r="164" ht="15.75" customHeight="1">
      <c r="C164" s="13"/>
      <c r="D164" s="13"/>
      <c r="E164" s="13"/>
      <c r="F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</row>
    <row r="165" ht="15.75" customHeight="1">
      <c r="C165" s="13"/>
      <c r="D165" s="13"/>
      <c r="E165" s="13"/>
      <c r="F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</row>
    <row r="166" ht="15.75" customHeight="1">
      <c r="C166" s="13"/>
      <c r="D166" s="13"/>
      <c r="E166" s="13"/>
      <c r="F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</row>
    <row r="167" ht="15.75" customHeight="1">
      <c r="C167" s="13"/>
      <c r="D167" s="13"/>
      <c r="E167" s="13"/>
      <c r="F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</row>
    <row r="168" ht="15.75" customHeight="1">
      <c r="C168" s="13"/>
      <c r="D168" s="13"/>
      <c r="E168" s="13"/>
      <c r="F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</row>
    <row r="169" ht="15.75" customHeight="1">
      <c r="C169" s="13"/>
      <c r="D169" s="13"/>
      <c r="E169" s="13"/>
      <c r="F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</row>
    <row r="170" ht="15.75" customHeight="1">
      <c r="C170" s="13"/>
      <c r="D170" s="13"/>
      <c r="E170" s="13"/>
      <c r="F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</row>
    <row r="171" ht="15.75" customHeight="1">
      <c r="C171" s="13"/>
      <c r="D171" s="13"/>
      <c r="E171" s="13"/>
      <c r="F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</row>
    <row r="172" ht="15.75" customHeight="1">
      <c r="C172" s="13"/>
      <c r="D172" s="13"/>
      <c r="E172" s="13"/>
      <c r="F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</row>
    <row r="173" ht="15.75" customHeight="1">
      <c r="C173" s="13"/>
      <c r="D173" s="13"/>
      <c r="E173" s="13"/>
      <c r="F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</row>
    <row r="174" ht="15.75" customHeight="1">
      <c r="C174" s="13"/>
      <c r="D174" s="13"/>
      <c r="E174" s="13"/>
      <c r="F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</row>
    <row r="175" ht="15.75" customHeight="1">
      <c r="C175" s="13"/>
      <c r="D175" s="13"/>
      <c r="E175" s="13"/>
      <c r="F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</row>
    <row r="176" ht="15.75" customHeight="1">
      <c r="C176" s="13"/>
      <c r="D176" s="13"/>
      <c r="E176" s="13"/>
      <c r="F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</row>
    <row r="177" ht="15.75" customHeight="1">
      <c r="C177" s="13"/>
      <c r="D177" s="13"/>
      <c r="E177" s="13"/>
      <c r="F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</row>
    <row r="178" ht="15.75" customHeight="1">
      <c r="C178" s="13"/>
      <c r="D178" s="13"/>
      <c r="E178" s="13"/>
      <c r="F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</row>
    <row r="179" ht="15.75" customHeight="1">
      <c r="C179" s="13"/>
      <c r="D179" s="13"/>
      <c r="E179" s="13"/>
      <c r="F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</row>
    <row r="180" ht="15.75" customHeight="1">
      <c r="C180" s="13"/>
      <c r="D180" s="13"/>
      <c r="E180" s="13"/>
      <c r="F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</row>
    <row r="181" ht="15.75" customHeight="1">
      <c r="C181" s="13"/>
      <c r="D181" s="13"/>
      <c r="E181" s="13"/>
      <c r="F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</row>
    <row r="182" ht="15.75" customHeight="1">
      <c r="C182" s="13"/>
      <c r="D182" s="13"/>
      <c r="E182" s="13"/>
      <c r="F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</row>
    <row r="183" ht="15.75" customHeight="1">
      <c r="C183" s="13"/>
      <c r="D183" s="13"/>
      <c r="E183" s="13"/>
      <c r="F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</row>
    <row r="184" ht="15.75" customHeight="1">
      <c r="C184" s="13"/>
      <c r="D184" s="13"/>
      <c r="E184" s="13"/>
      <c r="F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</row>
    <row r="185" ht="15.75" customHeight="1">
      <c r="C185" s="13"/>
      <c r="D185" s="13"/>
      <c r="E185" s="13"/>
      <c r="F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</row>
    <row r="186" ht="15.75" customHeight="1">
      <c r="C186" s="13"/>
      <c r="D186" s="13"/>
      <c r="E186" s="13"/>
      <c r="F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</row>
    <row r="187" ht="15.75" customHeight="1">
      <c r="C187" s="13"/>
      <c r="D187" s="13"/>
      <c r="E187" s="13"/>
      <c r="F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</row>
    <row r="188" ht="15.75" customHeight="1">
      <c r="C188" s="13"/>
      <c r="D188" s="13"/>
      <c r="E188" s="13"/>
      <c r="F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</row>
    <row r="189" ht="15.75" customHeight="1">
      <c r="C189" s="13"/>
      <c r="D189" s="13"/>
      <c r="E189" s="13"/>
      <c r="F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</row>
    <row r="190" ht="15.75" customHeight="1">
      <c r="C190" s="13"/>
      <c r="D190" s="13"/>
      <c r="E190" s="13"/>
      <c r="F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</row>
    <row r="191" ht="15.75" customHeight="1">
      <c r="C191" s="13"/>
      <c r="D191" s="13"/>
      <c r="E191" s="13"/>
      <c r="F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</row>
    <row r="192" ht="15.75" customHeight="1">
      <c r="C192" s="13"/>
      <c r="D192" s="13"/>
      <c r="E192" s="13"/>
      <c r="F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</row>
    <row r="193" ht="15.75" customHeight="1">
      <c r="C193" s="13"/>
      <c r="D193" s="13"/>
      <c r="E193" s="13"/>
      <c r="F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</row>
    <row r="194" ht="15.75" customHeight="1">
      <c r="C194" s="13"/>
      <c r="D194" s="13"/>
      <c r="E194" s="13"/>
      <c r="F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</row>
    <row r="195" ht="15.75" customHeight="1">
      <c r="C195" s="13"/>
      <c r="D195" s="13"/>
      <c r="E195" s="13"/>
      <c r="F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</row>
    <row r="196" ht="15.75" customHeight="1">
      <c r="C196" s="13"/>
      <c r="D196" s="13"/>
      <c r="E196" s="13"/>
      <c r="F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</row>
    <row r="197" ht="15.75" customHeight="1">
      <c r="C197" s="13"/>
      <c r="D197" s="13"/>
      <c r="E197" s="13"/>
      <c r="F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</row>
    <row r="198" ht="15.75" customHeight="1">
      <c r="C198" s="13"/>
      <c r="D198" s="13"/>
      <c r="E198" s="13"/>
      <c r="F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</row>
    <row r="199" ht="15.75" customHeight="1">
      <c r="C199" s="13"/>
      <c r="D199" s="13"/>
      <c r="E199" s="13"/>
      <c r="F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</row>
    <row r="200" ht="15.75" customHeight="1">
      <c r="C200" s="13"/>
      <c r="D200" s="13"/>
      <c r="E200" s="13"/>
      <c r="F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</row>
    <row r="201" ht="15.75" customHeight="1">
      <c r="C201" s="13"/>
      <c r="D201" s="13"/>
      <c r="E201" s="13"/>
      <c r="F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</row>
    <row r="202" ht="15.75" customHeight="1">
      <c r="C202" s="13"/>
      <c r="D202" s="13"/>
      <c r="E202" s="13"/>
      <c r="F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</row>
    <row r="203" ht="15.75" customHeight="1">
      <c r="C203" s="13"/>
      <c r="D203" s="13"/>
      <c r="E203" s="13"/>
      <c r="F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</row>
    <row r="204" ht="15.75" customHeight="1">
      <c r="C204" s="13"/>
      <c r="D204" s="13"/>
      <c r="E204" s="13"/>
      <c r="F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</row>
    <row r="205" ht="15.75" customHeight="1">
      <c r="C205" s="13"/>
      <c r="D205" s="13"/>
      <c r="E205" s="13"/>
      <c r="F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</row>
    <row r="206" ht="15.75" customHeight="1">
      <c r="C206" s="13"/>
      <c r="D206" s="13"/>
      <c r="E206" s="13"/>
      <c r="F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</row>
    <row r="207" ht="15.75" customHeight="1">
      <c r="C207" s="13"/>
      <c r="D207" s="13"/>
      <c r="E207" s="13"/>
      <c r="F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</row>
    <row r="208" ht="15.75" customHeight="1">
      <c r="C208" s="13"/>
      <c r="D208" s="13"/>
      <c r="E208" s="13"/>
      <c r="F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</row>
    <row r="209" ht="15.75" customHeight="1">
      <c r="C209" s="13"/>
      <c r="D209" s="13"/>
      <c r="E209" s="13"/>
      <c r="F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</row>
    <row r="210" ht="15.75" customHeight="1">
      <c r="C210" s="13"/>
      <c r="D210" s="13"/>
      <c r="E210" s="13"/>
      <c r="F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</row>
    <row r="211" ht="15.75" customHeight="1">
      <c r="C211" s="13"/>
      <c r="D211" s="13"/>
      <c r="E211" s="13"/>
      <c r="F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</row>
    <row r="212" ht="15.75" customHeight="1">
      <c r="C212" s="13"/>
      <c r="D212" s="13"/>
      <c r="E212" s="13"/>
      <c r="F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</row>
    <row r="213" ht="15.75" customHeight="1">
      <c r="C213" s="13"/>
      <c r="D213" s="13"/>
      <c r="E213" s="13"/>
      <c r="F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</row>
    <row r="214" ht="15.75" customHeight="1">
      <c r="C214" s="13"/>
      <c r="D214" s="13"/>
      <c r="E214" s="13"/>
      <c r="F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</row>
    <row r="215" ht="15.75" customHeight="1">
      <c r="C215" s="13"/>
      <c r="D215" s="13"/>
      <c r="E215" s="13"/>
      <c r="F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</row>
    <row r="216" ht="15.75" customHeight="1">
      <c r="C216" s="13"/>
      <c r="D216" s="13"/>
      <c r="E216" s="13"/>
      <c r="F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</row>
    <row r="217" ht="15.75" customHeight="1">
      <c r="C217" s="13"/>
      <c r="D217" s="13"/>
      <c r="E217" s="13"/>
      <c r="F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</row>
    <row r="218" ht="15.75" customHeight="1">
      <c r="C218" s="13"/>
      <c r="D218" s="13"/>
      <c r="E218" s="13"/>
      <c r="F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</row>
    <row r="219" ht="15.75" customHeight="1">
      <c r="C219" s="13"/>
      <c r="D219" s="13"/>
      <c r="E219" s="13"/>
      <c r="F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</row>
    <row r="220" ht="15.75" customHeight="1">
      <c r="C220" s="13"/>
      <c r="D220" s="13"/>
      <c r="E220" s="13"/>
      <c r="F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</row>
    <row r="221" ht="15.75" customHeight="1">
      <c r="C221" s="13"/>
      <c r="D221" s="13"/>
      <c r="E221" s="13"/>
      <c r="F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</row>
    <row r="222" ht="15.75" customHeight="1">
      <c r="C222" s="13"/>
      <c r="D222" s="13"/>
      <c r="E222" s="13"/>
      <c r="F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</row>
    <row r="223" ht="15.75" customHeight="1">
      <c r="C223" s="13"/>
      <c r="D223" s="13"/>
      <c r="E223" s="13"/>
      <c r="F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</row>
    <row r="224" ht="15.75" customHeight="1">
      <c r="C224" s="13"/>
      <c r="D224" s="13"/>
      <c r="E224" s="13"/>
      <c r="F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</row>
    <row r="225" ht="15.75" customHeight="1">
      <c r="C225" s="13"/>
      <c r="D225" s="13"/>
      <c r="E225" s="13"/>
      <c r="F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</row>
    <row r="226" ht="15.75" customHeight="1">
      <c r="C226" s="13"/>
      <c r="D226" s="13"/>
      <c r="E226" s="13"/>
      <c r="F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</row>
    <row r="227" ht="15.75" customHeight="1">
      <c r="C227" s="13"/>
      <c r="D227" s="13"/>
      <c r="E227" s="13"/>
      <c r="F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</row>
    <row r="228" ht="15.75" customHeight="1">
      <c r="C228" s="13"/>
      <c r="D228" s="13"/>
      <c r="E228" s="13"/>
      <c r="F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</row>
    <row r="229" ht="15.75" customHeight="1">
      <c r="C229" s="13"/>
      <c r="D229" s="13"/>
      <c r="E229" s="13"/>
      <c r="F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</row>
    <row r="230" ht="15.75" customHeight="1">
      <c r="C230" s="13"/>
      <c r="D230" s="13"/>
      <c r="E230" s="13"/>
      <c r="F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</row>
    <row r="231" ht="15.75" customHeight="1">
      <c r="C231" s="13"/>
      <c r="D231" s="13"/>
      <c r="E231" s="13"/>
      <c r="F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</row>
    <row r="232" ht="15.75" customHeight="1">
      <c r="C232" s="13"/>
      <c r="D232" s="13"/>
      <c r="E232" s="13"/>
      <c r="F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</row>
    <row r="233" ht="15.75" customHeight="1">
      <c r="C233" s="13"/>
      <c r="D233" s="13"/>
      <c r="E233" s="13"/>
      <c r="F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</row>
    <row r="234" ht="15.75" customHeight="1">
      <c r="C234" s="13"/>
      <c r="D234" s="13"/>
      <c r="E234" s="13"/>
      <c r="F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</row>
    <row r="235" ht="15.75" customHeight="1">
      <c r="C235" s="13"/>
      <c r="D235" s="13"/>
      <c r="E235" s="13"/>
      <c r="F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</row>
    <row r="236" ht="15.75" customHeight="1">
      <c r="C236" s="13"/>
      <c r="D236" s="13"/>
      <c r="E236" s="13"/>
      <c r="F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</row>
    <row r="237" ht="15.75" customHeight="1">
      <c r="C237" s="13"/>
      <c r="D237" s="13"/>
      <c r="E237" s="13"/>
      <c r="F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</row>
    <row r="238" ht="15.75" customHeight="1">
      <c r="C238" s="13"/>
      <c r="D238" s="13"/>
      <c r="E238" s="13"/>
      <c r="F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</row>
    <row r="239" ht="15.75" customHeight="1">
      <c r="C239" s="13"/>
      <c r="D239" s="13"/>
      <c r="E239" s="13"/>
      <c r="F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</row>
    <row r="240" ht="15.75" customHeight="1">
      <c r="C240" s="13"/>
      <c r="D240" s="13"/>
      <c r="E240" s="13"/>
      <c r="F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</row>
    <row r="241" ht="15.75" customHeight="1">
      <c r="C241" s="13"/>
      <c r="D241" s="13"/>
      <c r="E241" s="13"/>
      <c r="F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</row>
    <row r="242" ht="15.75" customHeight="1">
      <c r="C242" s="13"/>
      <c r="D242" s="13"/>
      <c r="E242" s="13"/>
      <c r="F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</row>
    <row r="243" ht="15.75" customHeight="1">
      <c r="C243" s="13"/>
      <c r="D243" s="13"/>
      <c r="E243" s="13"/>
      <c r="F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</row>
    <row r="244" ht="15.75" customHeight="1">
      <c r="C244" s="13"/>
      <c r="D244" s="13"/>
      <c r="E244" s="13"/>
      <c r="F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</row>
    <row r="245" ht="15.75" customHeight="1">
      <c r="C245" s="13"/>
      <c r="D245" s="13"/>
      <c r="E245" s="13"/>
      <c r="F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</row>
    <row r="246" ht="15.75" customHeight="1">
      <c r="C246" s="13"/>
      <c r="D246" s="13"/>
      <c r="E246" s="13"/>
      <c r="F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</row>
    <row r="247" ht="15.75" customHeight="1">
      <c r="C247" s="13"/>
      <c r="D247" s="13"/>
      <c r="E247" s="13"/>
      <c r="F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</row>
    <row r="248" ht="15.75" customHeight="1">
      <c r="C248" s="13"/>
      <c r="D248" s="13"/>
      <c r="E248" s="13"/>
      <c r="F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</row>
    <row r="249" ht="15.75" customHeight="1">
      <c r="C249" s="13"/>
      <c r="D249" s="13"/>
      <c r="E249" s="13"/>
      <c r="F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</row>
    <row r="250" ht="15.75" customHeight="1">
      <c r="C250" s="13"/>
      <c r="D250" s="13"/>
      <c r="E250" s="13"/>
      <c r="F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</row>
    <row r="251" ht="15.75" customHeight="1">
      <c r="C251" s="13"/>
      <c r="D251" s="13"/>
      <c r="E251" s="13"/>
      <c r="F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</row>
    <row r="252" ht="15.75" customHeight="1">
      <c r="C252" s="13"/>
      <c r="D252" s="13"/>
      <c r="E252" s="13"/>
      <c r="F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</row>
    <row r="253" ht="15.75" customHeight="1">
      <c r="C253" s="13"/>
      <c r="D253" s="13"/>
      <c r="E253" s="13"/>
      <c r="F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</row>
    <row r="254" ht="15.75" customHeight="1">
      <c r="C254" s="13"/>
      <c r="D254" s="13"/>
      <c r="E254" s="13"/>
      <c r="F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</row>
    <row r="255" ht="15.75" customHeight="1">
      <c r="C255" s="13"/>
      <c r="D255" s="13"/>
      <c r="E255" s="13"/>
      <c r="F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</row>
    <row r="256" ht="15.75" customHeight="1">
      <c r="C256" s="13"/>
      <c r="D256" s="13"/>
      <c r="E256" s="13"/>
      <c r="F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</row>
    <row r="257" ht="15.75" customHeight="1">
      <c r="C257" s="13"/>
      <c r="D257" s="13"/>
      <c r="E257" s="13"/>
      <c r="F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</row>
    <row r="258" ht="15.75" customHeight="1">
      <c r="C258" s="13"/>
      <c r="D258" s="13"/>
      <c r="E258" s="13"/>
      <c r="F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</row>
    <row r="259" ht="15.75" customHeight="1">
      <c r="C259" s="13"/>
      <c r="D259" s="13"/>
      <c r="E259" s="13"/>
      <c r="F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</row>
    <row r="260" ht="15.75" customHeight="1">
      <c r="C260" s="13"/>
      <c r="D260" s="13"/>
      <c r="E260" s="13"/>
      <c r="F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</row>
    <row r="261" ht="15.75" customHeight="1">
      <c r="C261" s="13"/>
      <c r="D261" s="13"/>
      <c r="E261" s="13"/>
      <c r="F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</row>
    <row r="262" ht="15.75" customHeight="1">
      <c r="C262" s="13"/>
      <c r="D262" s="13"/>
      <c r="E262" s="13"/>
      <c r="F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</row>
    <row r="263" ht="15.75" customHeight="1">
      <c r="C263" s="13"/>
      <c r="D263" s="13"/>
      <c r="E263" s="13"/>
      <c r="F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</row>
    <row r="264" ht="15.75" customHeight="1">
      <c r="C264" s="13"/>
      <c r="D264" s="13"/>
      <c r="E264" s="13"/>
      <c r="F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</row>
    <row r="265" ht="15.75" customHeight="1">
      <c r="C265" s="13"/>
      <c r="D265" s="13"/>
      <c r="E265" s="13"/>
      <c r="F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</row>
    <row r="266" ht="15.75" customHeight="1">
      <c r="C266" s="13"/>
      <c r="D266" s="13"/>
      <c r="E266" s="13"/>
      <c r="F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</row>
    <row r="267" ht="15.75" customHeight="1">
      <c r="C267" s="13"/>
      <c r="D267" s="13"/>
      <c r="E267" s="13"/>
      <c r="F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</row>
    <row r="268" ht="15.75" customHeight="1">
      <c r="C268" s="13"/>
      <c r="D268" s="13"/>
      <c r="E268" s="13"/>
      <c r="F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</row>
    <row r="269" ht="15.75" customHeight="1">
      <c r="C269" s="13"/>
      <c r="D269" s="13"/>
      <c r="E269" s="13"/>
      <c r="F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</row>
    <row r="270" ht="15.75" customHeight="1">
      <c r="C270" s="13"/>
      <c r="D270" s="13"/>
      <c r="E270" s="13"/>
      <c r="F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</row>
    <row r="271" ht="15.75" customHeight="1">
      <c r="C271" s="13"/>
      <c r="D271" s="13"/>
      <c r="E271" s="13"/>
      <c r="F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</row>
    <row r="272" ht="15.75" customHeight="1">
      <c r="C272" s="13"/>
      <c r="D272" s="13"/>
      <c r="E272" s="13"/>
      <c r="F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</row>
    <row r="273" ht="15.75" customHeight="1">
      <c r="C273" s="13"/>
      <c r="D273" s="13"/>
      <c r="E273" s="13"/>
      <c r="F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</row>
    <row r="274" ht="15.75" customHeight="1">
      <c r="C274" s="13"/>
      <c r="D274" s="13"/>
      <c r="E274" s="13"/>
      <c r="F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</row>
    <row r="275" ht="15.75" customHeight="1">
      <c r="C275" s="13"/>
      <c r="D275" s="13"/>
      <c r="E275" s="13"/>
      <c r="F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</row>
    <row r="276" ht="15.75" customHeight="1">
      <c r="C276" s="13"/>
      <c r="D276" s="13"/>
      <c r="E276" s="13"/>
      <c r="F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</row>
    <row r="277" ht="15.75" customHeight="1">
      <c r="C277" s="13"/>
      <c r="D277" s="13"/>
      <c r="E277" s="13"/>
      <c r="F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</row>
    <row r="278" ht="15.75" customHeight="1">
      <c r="C278" s="13"/>
      <c r="D278" s="13"/>
      <c r="E278" s="13"/>
      <c r="F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</row>
    <row r="279" ht="15.75" customHeight="1">
      <c r="C279" s="13"/>
      <c r="D279" s="13"/>
      <c r="E279" s="13"/>
      <c r="F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</row>
    <row r="280" ht="15.75" customHeight="1">
      <c r="C280" s="13"/>
      <c r="D280" s="13"/>
      <c r="E280" s="13"/>
      <c r="F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</row>
    <row r="281" ht="15.75" customHeight="1">
      <c r="C281" s="13"/>
      <c r="D281" s="13"/>
      <c r="E281" s="13"/>
      <c r="F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</row>
    <row r="282" ht="15.75" customHeight="1">
      <c r="C282" s="13"/>
      <c r="D282" s="13"/>
      <c r="E282" s="13"/>
      <c r="F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</row>
    <row r="283" ht="15.75" customHeight="1">
      <c r="C283" s="13"/>
      <c r="D283" s="13"/>
      <c r="E283" s="13"/>
      <c r="F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</row>
    <row r="284" ht="15.75" customHeight="1">
      <c r="C284" s="13"/>
      <c r="D284" s="13"/>
      <c r="E284" s="13"/>
      <c r="F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</row>
    <row r="285" ht="15.75" customHeight="1">
      <c r="C285" s="13"/>
      <c r="D285" s="13"/>
      <c r="E285" s="13"/>
      <c r="F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</row>
    <row r="286" ht="15.75" customHeight="1">
      <c r="C286" s="13"/>
      <c r="D286" s="13"/>
      <c r="E286" s="13"/>
      <c r="F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</row>
    <row r="287" ht="15.75" customHeight="1">
      <c r="C287" s="13"/>
      <c r="D287" s="13"/>
      <c r="E287" s="13"/>
      <c r="F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</row>
    <row r="288" ht="15.75" customHeight="1">
      <c r="C288" s="13"/>
      <c r="D288" s="13"/>
      <c r="E288" s="13"/>
      <c r="F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</row>
    <row r="289" ht="15.75" customHeight="1">
      <c r="C289" s="13"/>
      <c r="D289" s="13"/>
      <c r="E289" s="13"/>
      <c r="F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</row>
    <row r="290" ht="15.75" customHeight="1">
      <c r="C290" s="13"/>
      <c r="D290" s="13"/>
      <c r="E290" s="13"/>
      <c r="F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</row>
    <row r="291" ht="15.75" customHeight="1">
      <c r="C291" s="13"/>
      <c r="D291" s="13"/>
      <c r="E291" s="13"/>
      <c r="F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</row>
    <row r="292" ht="15.75" customHeight="1">
      <c r="C292" s="13"/>
      <c r="D292" s="13"/>
      <c r="E292" s="13"/>
      <c r="F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</row>
    <row r="293" ht="15.75" customHeight="1">
      <c r="C293" s="13"/>
      <c r="D293" s="13"/>
      <c r="E293" s="13"/>
      <c r="F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</row>
    <row r="294" ht="15.75" customHeight="1">
      <c r="C294" s="13"/>
      <c r="D294" s="13"/>
      <c r="E294" s="13"/>
      <c r="F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</row>
    <row r="295" ht="15.75" customHeight="1">
      <c r="C295" s="13"/>
      <c r="D295" s="13"/>
      <c r="E295" s="13"/>
      <c r="F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</row>
    <row r="296" ht="15.75" customHeight="1">
      <c r="C296" s="13"/>
      <c r="D296" s="13"/>
      <c r="E296" s="13"/>
      <c r="F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</row>
    <row r="297" ht="15.75" customHeight="1">
      <c r="C297" s="13"/>
      <c r="D297" s="13"/>
      <c r="E297" s="13"/>
      <c r="F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</row>
    <row r="298" ht="15.75" customHeight="1">
      <c r="C298" s="13"/>
      <c r="D298" s="13"/>
      <c r="E298" s="13"/>
      <c r="F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</row>
    <row r="299" ht="15.75" customHeight="1">
      <c r="C299" s="13"/>
      <c r="D299" s="13"/>
      <c r="E299" s="13"/>
      <c r="F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</row>
    <row r="300" ht="15.75" customHeight="1">
      <c r="C300" s="13"/>
      <c r="D300" s="13"/>
      <c r="E300" s="13"/>
      <c r="F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</row>
    <row r="301" ht="15.75" customHeight="1">
      <c r="C301" s="13"/>
      <c r="D301" s="13"/>
      <c r="E301" s="13"/>
      <c r="F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</row>
    <row r="302" ht="15.75" customHeight="1">
      <c r="C302" s="13"/>
      <c r="D302" s="13"/>
      <c r="E302" s="13"/>
      <c r="F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</row>
    <row r="303" ht="15.75" customHeight="1">
      <c r="C303" s="13"/>
      <c r="D303" s="13"/>
      <c r="E303" s="13"/>
      <c r="F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</row>
    <row r="304" ht="15.75" customHeight="1">
      <c r="C304" s="13"/>
      <c r="D304" s="13"/>
      <c r="E304" s="13"/>
      <c r="F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</row>
    <row r="305" ht="15.75" customHeight="1">
      <c r="C305" s="13"/>
      <c r="D305" s="13"/>
      <c r="E305" s="13"/>
      <c r="F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</row>
    <row r="306" ht="15.75" customHeight="1">
      <c r="C306" s="13"/>
      <c r="D306" s="13"/>
      <c r="E306" s="13"/>
      <c r="F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</row>
    <row r="307" ht="15.75" customHeight="1">
      <c r="C307" s="13"/>
      <c r="D307" s="13"/>
      <c r="E307" s="13"/>
      <c r="F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</row>
    <row r="308" ht="15.75" customHeight="1">
      <c r="C308" s="13"/>
      <c r="D308" s="13"/>
      <c r="E308" s="13"/>
      <c r="F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</row>
    <row r="309" ht="15.75" customHeight="1">
      <c r="C309" s="13"/>
      <c r="D309" s="13"/>
      <c r="E309" s="13"/>
      <c r="F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</row>
    <row r="310" ht="15.75" customHeight="1">
      <c r="C310" s="13"/>
      <c r="D310" s="13"/>
      <c r="E310" s="13"/>
      <c r="F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</row>
    <row r="311" ht="15.75" customHeight="1">
      <c r="C311" s="13"/>
      <c r="D311" s="13"/>
      <c r="E311" s="13"/>
      <c r="F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</row>
    <row r="312" ht="15.75" customHeight="1">
      <c r="C312" s="13"/>
      <c r="D312" s="13"/>
      <c r="E312" s="13"/>
      <c r="F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</row>
    <row r="313" ht="15.75" customHeight="1">
      <c r="C313" s="13"/>
      <c r="D313" s="13"/>
      <c r="E313" s="13"/>
      <c r="F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</row>
    <row r="314" ht="15.75" customHeight="1">
      <c r="C314" s="13"/>
      <c r="D314" s="13"/>
      <c r="E314" s="13"/>
      <c r="F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</row>
    <row r="315" ht="15.75" customHeight="1">
      <c r="C315" s="13"/>
      <c r="D315" s="13"/>
      <c r="E315" s="13"/>
      <c r="F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</row>
    <row r="316" ht="15.75" customHeight="1">
      <c r="C316" s="13"/>
      <c r="D316" s="13"/>
      <c r="E316" s="13"/>
      <c r="F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</row>
    <row r="317" ht="15.75" customHeight="1">
      <c r="C317" s="13"/>
      <c r="D317" s="13"/>
      <c r="E317" s="13"/>
      <c r="F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</row>
    <row r="318" ht="15.75" customHeight="1">
      <c r="C318" s="13"/>
      <c r="D318" s="13"/>
      <c r="E318" s="13"/>
      <c r="F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</row>
    <row r="319" ht="15.75" customHeight="1">
      <c r="C319" s="13"/>
      <c r="D319" s="13"/>
      <c r="E319" s="13"/>
      <c r="F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</row>
    <row r="320" ht="15.75" customHeight="1">
      <c r="C320" s="13"/>
      <c r="D320" s="13"/>
      <c r="E320" s="13"/>
      <c r="F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</row>
    <row r="321" ht="15.75" customHeight="1">
      <c r="C321" s="13"/>
      <c r="D321" s="13"/>
      <c r="E321" s="13"/>
      <c r="F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</row>
    <row r="322" ht="15.75" customHeight="1">
      <c r="C322" s="13"/>
      <c r="D322" s="13"/>
      <c r="E322" s="13"/>
      <c r="F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</row>
    <row r="323" ht="15.75" customHeight="1">
      <c r="C323" s="13"/>
      <c r="D323" s="13"/>
      <c r="E323" s="13"/>
      <c r="F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</row>
    <row r="324" ht="15.75" customHeight="1">
      <c r="C324" s="13"/>
      <c r="D324" s="13"/>
      <c r="E324" s="13"/>
      <c r="F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</row>
    <row r="325" ht="15.75" customHeight="1">
      <c r="C325" s="13"/>
      <c r="D325" s="13"/>
      <c r="E325" s="13"/>
      <c r="F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</row>
    <row r="326" ht="15.75" customHeight="1">
      <c r="C326" s="13"/>
      <c r="D326" s="13"/>
      <c r="E326" s="13"/>
      <c r="F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</row>
    <row r="327" ht="15.75" customHeight="1">
      <c r="C327" s="13"/>
      <c r="D327" s="13"/>
      <c r="E327" s="13"/>
      <c r="F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</row>
    <row r="328" ht="15.75" customHeight="1">
      <c r="C328" s="13"/>
      <c r="D328" s="13"/>
      <c r="E328" s="13"/>
      <c r="F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</row>
    <row r="329" ht="15.75" customHeight="1">
      <c r="C329" s="13"/>
      <c r="D329" s="13"/>
      <c r="E329" s="13"/>
      <c r="F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</row>
    <row r="330" ht="15.75" customHeight="1">
      <c r="C330" s="13"/>
      <c r="D330" s="13"/>
      <c r="E330" s="13"/>
      <c r="F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</row>
    <row r="331" ht="15.75" customHeight="1">
      <c r="C331" s="13"/>
      <c r="D331" s="13"/>
      <c r="E331" s="13"/>
      <c r="F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</row>
    <row r="332" ht="15.75" customHeight="1">
      <c r="C332" s="13"/>
      <c r="D332" s="13"/>
      <c r="E332" s="13"/>
      <c r="F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</row>
    <row r="333" ht="15.75" customHeight="1">
      <c r="C333" s="13"/>
      <c r="D333" s="13"/>
      <c r="E333" s="13"/>
      <c r="F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</row>
    <row r="334" ht="15.75" customHeight="1">
      <c r="C334" s="13"/>
      <c r="D334" s="13"/>
      <c r="E334" s="13"/>
      <c r="F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</row>
    <row r="335" ht="15.75" customHeight="1">
      <c r="C335" s="13"/>
      <c r="D335" s="13"/>
      <c r="E335" s="13"/>
      <c r="F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</row>
    <row r="336" ht="15.75" customHeight="1">
      <c r="C336" s="13"/>
      <c r="D336" s="13"/>
      <c r="E336" s="13"/>
      <c r="F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</row>
    <row r="337" ht="15.75" customHeight="1">
      <c r="C337" s="13"/>
      <c r="D337" s="13"/>
      <c r="E337" s="13"/>
      <c r="F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</row>
    <row r="338" ht="15.75" customHeight="1">
      <c r="C338" s="13"/>
      <c r="D338" s="13"/>
      <c r="E338" s="13"/>
      <c r="F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</row>
    <row r="339" ht="15.75" customHeight="1">
      <c r="C339" s="13"/>
      <c r="D339" s="13"/>
      <c r="E339" s="13"/>
      <c r="F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</row>
    <row r="340" ht="15.75" customHeight="1">
      <c r="C340" s="13"/>
      <c r="D340" s="13"/>
      <c r="E340" s="13"/>
      <c r="F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</row>
    <row r="341" ht="15.75" customHeight="1">
      <c r="C341" s="13"/>
      <c r="D341" s="13"/>
      <c r="E341" s="13"/>
      <c r="F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</row>
    <row r="342" ht="15.75" customHeight="1">
      <c r="C342" s="13"/>
      <c r="D342" s="13"/>
      <c r="E342" s="13"/>
      <c r="F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</row>
    <row r="343" ht="15.75" customHeight="1">
      <c r="C343" s="13"/>
      <c r="D343" s="13"/>
      <c r="E343" s="13"/>
      <c r="F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</row>
    <row r="344" ht="15.75" customHeight="1">
      <c r="C344" s="13"/>
      <c r="D344" s="13"/>
      <c r="E344" s="13"/>
      <c r="F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</row>
    <row r="345" ht="15.75" customHeight="1">
      <c r="C345" s="13"/>
      <c r="D345" s="13"/>
      <c r="E345" s="13"/>
      <c r="F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</row>
    <row r="346" ht="15.75" customHeight="1">
      <c r="C346" s="13"/>
      <c r="D346" s="13"/>
      <c r="E346" s="13"/>
      <c r="F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</row>
    <row r="347" ht="15.75" customHeight="1">
      <c r="C347" s="13"/>
      <c r="D347" s="13"/>
      <c r="E347" s="13"/>
      <c r="F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</row>
    <row r="348" ht="15.75" customHeight="1">
      <c r="C348" s="13"/>
      <c r="D348" s="13"/>
      <c r="E348" s="13"/>
      <c r="F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</row>
    <row r="349" ht="15.75" customHeight="1">
      <c r="C349" s="13"/>
      <c r="D349" s="13"/>
      <c r="E349" s="13"/>
      <c r="F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</row>
    <row r="350" ht="15.75" customHeight="1">
      <c r="C350" s="13"/>
      <c r="D350" s="13"/>
      <c r="E350" s="13"/>
      <c r="F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</row>
    <row r="351" ht="15.75" customHeight="1">
      <c r="C351" s="13"/>
      <c r="D351" s="13"/>
      <c r="E351" s="13"/>
      <c r="F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</row>
    <row r="352" ht="15.75" customHeight="1">
      <c r="C352" s="13"/>
      <c r="D352" s="13"/>
      <c r="E352" s="13"/>
      <c r="F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</row>
    <row r="353" ht="15.75" customHeight="1">
      <c r="C353" s="13"/>
      <c r="D353" s="13"/>
      <c r="E353" s="13"/>
      <c r="F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</row>
    <row r="354" ht="15.75" customHeight="1">
      <c r="C354" s="13"/>
      <c r="D354" s="13"/>
      <c r="E354" s="13"/>
      <c r="F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</row>
    <row r="355" ht="15.75" customHeight="1">
      <c r="C355" s="13"/>
      <c r="D355" s="13"/>
      <c r="E355" s="13"/>
      <c r="F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</row>
    <row r="356" ht="15.75" customHeight="1">
      <c r="C356" s="13"/>
      <c r="D356" s="13"/>
      <c r="E356" s="13"/>
      <c r="F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</row>
    <row r="357" ht="15.75" customHeight="1">
      <c r="C357" s="13"/>
      <c r="D357" s="13"/>
      <c r="E357" s="13"/>
      <c r="F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</row>
    <row r="358" ht="15.75" customHeight="1">
      <c r="C358" s="13"/>
      <c r="D358" s="13"/>
      <c r="E358" s="13"/>
      <c r="F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</row>
    <row r="359" ht="15.75" customHeight="1">
      <c r="C359" s="13"/>
      <c r="D359" s="13"/>
      <c r="E359" s="13"/>
      <c r="F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</row>
    <row r="360" ht="15.75" customHeight="1">
      <c r="C360" s="13"/>
      <c r="D360" s="13"/>
      <c r="E360" s="13"/>
      <c r="F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</row>
    <row r="361" ht="15.75" customHeight="1">
      <c r="C361" s="13"/>
      <c r="D361" s="13"/>
      <c r="E361" s="13"/>
      <c r="F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</row>
    <row r="362" ht="15.75" customHeight="1">
      <c r="C362" s="13"/>
      <c r="D362" s="13"/>
      <c r="E362" s="13"/>
      <c r="F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</row>
    <row r="363" ht="15.75" customHeight="1">
      <c r="C363" s="13"/>
      <c r="D363" s="13"/>
      <c r="E363" s="13"/>
      <c r="F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</row>
    <row r="364" ht="15.75" customHeight="1">
      <c r="C364" s="13"/>
      <c r="D364" s="13"/>
      <c r="E364" s="13"/>
      <c r="F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</row>
    <row r="365" ht="15.75" customHeight="1">
      <c r="C365" s="13"/>
      <c r="D365" s="13"/>
      <c r="E365" s="13"/>
      <c r="F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</row>
    <row r="366" ht="15.75" customHeight="1">
      <c r="C366" s="13"/>
      <c r="D366" s="13"/>
      <c r="E366" s="13"/>
      <c r="F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</row>
    <row r="367" ht="15.75" customHeight="1">
      <c r="C367" s="13"/>
      <c r="D367" s="13"/>
      <c r="E367" s="13"/>
      <c r="F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</row>
    <row r="368" ht="15.75" customHeight="1">
      <c r="C368" s="13"/>
      <c r="D368" s="13"/>
      <c r="E368" s="13"/>
      <c r="F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</row>
    <row r="369" ht="15.75" customHeight="1">
      <c r="C369" s="13"/>
      <c r="D369" s="13"/>
      <c r="E369" s="13"/>
      <c r="F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</row>
    <row r="370" ht="15.75" customHeight="1">
      <c r="C370" s="13"/>
      <c r="D370" s="13"/>
      <c r="E370" s="13"/>
      <c r="F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</row>
    <row r="371" ht="15.75" customHeight="1">
      <c r="C371" s="13"/>
      <c r="D371" s="13"/>
      <c r="E371" s="13"/>
      <c r="F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</row>
    <row r="372" ht="15.75" customHeight="1">
      <c r="C372" s="13"/>
      <c r="D372" s="13"/>
      <c r="E372" s="13"/>
      <c r="F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</row>
    <row r="373" ht="15.75" customHeight="1">
      <c r="C373" s="13"/>
      <c r="D373" s="13"/>
      <c r="E373" s="13"/>
      <c r="F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</row>
    <row r="374" ht="15.75" customHeight="1">
      <c r="C374" s="13"/>
      <c r="D374" s="13"/>
      <c r="E374" s="13"/>
      <c r="F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</row>
    <row r="375" ht="15.75" customHeight="1">
      <c r="C375" s="13"/>
      <c r="D375" s="13"/>
      <c r="E375" s="13"/>
      <c r="F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</row>
    <row r="376" ht="15.75" customHeight="1">
      <c r="C376" s="13"/>
      <c r="D376" s="13"/>
      <c r="E376" s="13"/>
      <c r="F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</row>
    <row r="377" ht="15.75" customHeight="1">
      <c r="C377" s="13"/>
      <c r="D377" s="13"/>
      <c r="E377" s="13"/>
      <c r="F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</row>
    <row r="378" ht="15.75" customHeight="1">
      <c r="C378" s="13"/>
      <c r="D378" s="13"/>
      <c r="E378" s="13"/>
      <c r="F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</row>
    <row r="379" ht="15.75" customHeight="1">
      <c r="C379" s="13"/>
      <c r="D379" s="13"/>
      <c r="E379" s="13"/>
      <c r="F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</row>
    <row r="380" ht="15.75" customHeight="1">
      <c r="C380" s="13"/>
      <c r="D380" s="13"/>
      <c r="E380" s="13"/>
      <c r="F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</row>
    <row r="381" ht="15.75" customHeight="1">
      <c r="C381" s="13"/>
      <c r="D381" s="13"/>
      <c r="E381" s="13"/>
      <c r="F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</row>
    <row r="382" ht="15.75" customHeight="1">
      <c r="C382" s="13"/>
      <c r="D382" s="13"/>
      <c r="E382" s="13"/>
      <c r="F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</row>
    <row r="383" ht="15.75" customHeight="1">
      <c r="C383" s="13"/>
      <c r="D383" s="13"/>
      <c r="E383" s="13"/>
      <c r="F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</row>
    <row r="384" ht="15.75" customHeight="1">
      <c r="C384" s="13"/>
      <c r="D384" s="13"/>
      <c r="E384" s="13"/>
      <c r="F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</row>
    <row r="385" ht="15.75" customHeight="1">
      <c r="C385" s="13"/>
      <c r="D385" s="13"/>
      <c r="E385" s="13"/>
      <c r="F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</row>
    <row r="386" ht="15.75" customHeight="1">
      <c r="C386" s="13"/>
      <c r="D386" s="13"/>
      <c r="E386" s="13"/>
      <c r="F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</row>
    <row r="387" ht="15.75" customHeight="1">
      <c r="C387" s="13"/>
      <c r="D387" s="13"/>
      <c r="E387" s="13"/>
      <c r="F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</row>
    <row r="388" ht="15.75" customHeight="1">
      <c r="C388" s="13"/>
      <c r="D388" s="13"/>
      <c r="E388" s="13"/>
      <c r="F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</row>
    <row r="389" ht="15.75" customHeight="1">
      <c r="C389" s="13"/>
      <c r="D389" s="13"/>
      <c r="E389" s="13"/>
      <c r="F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</row>
    <row r="390" ht="15.75" customHeight="1">
      <c r="C390" s="13"/>
      <c r="D390" s="13"/>
      <c r="E390" s="13"/>
      <c r="F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</row>
    <row r="391" ht="15.75" customHeight="1">
      <c r="C391" s="13"/>
      <c r="D391" s="13"/>
      <c r="E391" s="13"/>
      <c r="F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</row>
    <row r="392" ht="15.75" customHeight="1">
      <c r="C392" s="13"/>
      <c r="D392" s="13"/>
      <c r="E392" s="13"/>
      <c r="F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</row>
    <row r="393" ht="15.75" customHeight="1">
      <c r="C393" s="13"/>
      <c r="D393" s="13"/>
      <c r="E393" s="13"/>
      <c r="F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</row>
    <row r="394" ht="15.75" customHeight="1">
      <c r="C394" s="13"/>
      <c r="D394" s="13"/>
      <c r="E394" s="13"/>
      <c r="F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</row>
    <row r="395" ht="15.75" customHeight="1">
      <c r="C395" s="13"/>
      <c r="D395" s="13"/>
      <c r="E395" s="13"/>
      <c r="F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</row>
    <row r="396" ht="15.75" customHeight="1">
      <c r="C396" s="13"/>
      <c r="D396" s="13"/>
      <c r="E396" s="13"/>
      <c r="F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</row>
    <row r="397" ht="15.75" customHeight="1">
      <c r="C397" s="13"/>
      <c r="D397" s="13"/>
      <c r="E397" s="13"/>
      <c r="F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</row>
    <row r="398" ht="15.75" customHeight="1">
      <c r="C398" s="13"/>
      <c r="D398" s="13"/>
      <c r="E398" s="13"/>
      <c r="F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</row>
    <row r="399" ht="15.75" customHeight="1">
      <c r="C399" s="13"/>
      <c r="D399" s="13"/>
      <c r="E399" s="13"/>
      <c r="F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</row>
    <row r="400" ht="15.75" customHeight="1">
      <c r="C400" s="13"/>
      <c r="D400" s="13"/>
      <c r="E400" s="13"/>
      <c r="F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</row>
    <row r="401" ht="15.75" customHeight="1">
      <c r="C401" s="13"/>
      <c r="D401" s="13"/>
      <c r="E401" s="13"/>
      <c r="F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</row>
    <row r="402" ht="15.75" customHeight="1">
      <c r="C402" s="13"/>
      <c r="D402" s="13"/>
      <c r="E402" s="13"/>
      <c r="F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</row>
    <row r="403" ht="15.75" customHeight="1">
      <c r="C403" s="13"/>
      <c r="D403" s="13"/>
      <c r="E403" s="13"/>
      <c r="F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</row>
    <row r="404" ht="15.75" customHeight="1">
      <c r="C404" s="13"/>
      <c r="D404" s="13"/>
      <c r="E404" s="13"/>
      <c r="F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</row>
    <row r="405" ht="15.75" customHeight="1">
      <c r="C405" s="13"/>
      <c r="D405" s="13"/>
      <c r="E405" s="13"/>
      <c r="F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</row>
    <row r="406" ht="15.75" customHeight="1">
      <c r="C406" s="13"/>
      <c r="D406" s="13"/>
      <c r="E406" s="13"/>
      <c r="F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</row>
    <row r="407" ht="15.75" customHeight="1">
      <c r="C407" s="13"/>
      <c r="D407" s="13"/>
      <c r="E407" s="13"/>
      <c r="F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</row>
    <row r="408" ht="15.75" customHeight="1">
      <c r="C408" s="13"/>
      <c r="D408" s="13"/>
      <c r="E408" s="13"/>
      <c r="F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</row>
    <row r="409" ht="15.75" customHeight="1">
      <c r="C409" s="13"/>
      <c r="D409" s="13"/>
      <c r="E409" s="13"/>
      <c r="F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</row>
    <row r="410" ht="15.75" customHeight="1">
      <c r="C410" s="13"/>
      <c r="D410" s="13"/>
      <c r="E410" s="13"/>
      <c r="F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</row>
    <row r="411" ht="15.75" customHeight="1">
      <c r="C411" s="13"/>
      <c r="D411" s="13"/>
      <c r="E411" s="13"/>
      <c r="F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</row>
    <row r="412" ht="15.75" customHeight="1">
      <c r="C412" s="13"/>
      <c r="D412" s="13"/>
      <c r="E412" s="13"/>
      <c r="F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</row>
    <row r="413" ht="15.75" customHeight="1">
      <c r="C413" s="13"/>
      <c r="D413" s="13"/>
      <c r="E413" s="13"/>
      <c r="F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</row>
    <row r="414" ht="15.75" customHeight="1">
      <c r="C414" s="13"/>
      <c r="D414" s="13"/>
      <c r="E414" s="13"/>
      <c r="F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</row>
    <row r="415" ht="15.75" customHeight="1">
      <c r="C415" s="13"/>
      <c r="D415" s="13"/>
      <c r="E415" s="13"/>
      <c r="F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</row>
    <row r="416" ht="15.75" customHeight="1">
      <c r="C416" s="13"/>
      <c r="D416" s="13"/>
      <c r="E416" s="13"/>
      <c r="F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</row>
    <row r="417" ht="15.75" customHeight="1">
      <c r="C417" s="13"/>
      <c r="D417" s="13"/>
      <c r="E417" s="13"/>
      <c r="F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</row>
    <row r="418" ht="15.75" customHeight="1">
      <c r="C418" s="13"/>
      <c r="D418" s="13"/>
      <c r="E418" s="13"/>
      <c r="F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</row>
    <row r="419" ht="15.75" customHeight="1">
      <c r="C419" s="13"/>
      <c r="D419" s="13"/>
      <c r="E419" s="13"/>
      <c r="F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</row>
    <row r="420" ht="15.75" customHeight="1">
      <c r="C420" s="13"/>
      <c r="D420" s="13"/>
      <c r="E420" s="13"/>
      <c r="F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</row>
    <row r="421" ht="15.75" customHeight="1">
      <c r="C421" s="13"/>
      <c r="D421" s="13"/>
      <c r="E421" s="13"/>
      <c r="F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</row>
    <row r="422" ht="15.75" customHeight="1">
      <c r="C422" s="13"/>
      <c r="D422" s="13"/>
      <c r="E422" s="13"/>
      <c r="F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</row>
    <row r="423" ht="15.75" customHeight="1">
      <c r="C423" s="13"/>
      <c r="D423" s="13"/>
      <c r="E423" s="13"/>
      <c r="F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</row>
    <row r="424" ht="15.75" customHeight="1">
      <c r="C424" s="13"/>
      <c r="D424" s="13"/>
      <c r="E424" s="13"/>
      <c r="F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</row>
    <row r="425" ht="15.75" customHeight="1">
      <c r="C425" s="13"/>
      <c r="D425" s="13"/>
      <c r="E425" s="13"/>
      <c r="F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</row>
    <row r="426" ht="15.75" customHeight="1">
      <c r="C426" s="13"/>
      <c r="D426" s="13"/>
      <c r="E426" s="13"/>
      <c r="F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</row>
    <row r="427" ht="15.75" customHeight="1">
      <c r="C427" s="13"/>
      <c r="D427" s="13"/>
      <c r="E427" s="13"/>
      <c r="F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</row>
    <row r="428" ht="15.75" customHeight="1">
      <c r="C428" s="13"/>
      <c r="D428" s="13"/>
      <c r="E428" s="13"/>
      <c r="F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</row>
    <row r="429" ht="15.75" customHeight="1">
      <c r="C429" s="13"/>
      <c r="D429" s="13"/>
      <c r="E429" s="13"/>
      <c r="F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</row>
    <row r="430" ht="15.75" customHeight="1">
      <c r="C430" s="13"/>
      <c r="D430" s="13"/>
      <c r="E430" s="13"/>
      <c r="F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</row>
    <row r="431" ht="15.75" customHeight="1">
      <c r="C431" s="13"/>
      <c r="D431" s="13"/>
      <c r="E431" s="13"/>
      <c r="F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</row>
    <row r="432" ht="15.75" customHeight="1">
      <c r="C432" s="13"/>
      <c r="D432" s="13"/>
      <c r="E432" s="13"/>
      <c r="F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</row>
    <row r="433" ht="15.75" customHeight="1">
      <c r="C433" s="13"/>
      <c r="D433" s="13"/>
      <c r="E433" s="13"/>
      <c r="F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</row>
    <row r="434" ht="15.75" customHeight="1">
      <c r="C434" s="13"/>
      <c r="D434" s="13"/>
      <c r="E434" s="13"/>
      <c r="F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</row>
    <row r="435" ht="15.75" customHeight="1">
      <c r="C435" s="13"/>
      <c r="D435" s="13"/>
      <c r="E435" s="13"/>
      <c r="F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</row>
    <row r="436" ht="15.75" customHeight="1">
      <c r="C436" s="13"/>
      <c r="D436" s="13"/>
      <c r="E436" s="13"/>
      <c r="F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</row>
    <row r="437" ht="15.75" customHeight="1">
      <c r="C437" s="13"/>
      <c r="D437" s="13"/>
      <c r="E437" s="13"/>
      <c r="F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</row>
    <row r="438" ht="15.75" customHeight="1">
      <c r="C438" s="13"/>
      <c r="D438" s="13"/>
      <c r="E438" s="13"/>
      <c r="F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</row>
    <row r="439" ht="15.75" customHeight="1">
      <c r="C439" s="13"/>
      <c r="D439" s="13"/>
      <c r="E439" s="13"/>
      <c r="F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</row>
    <row r="440" ht="15.75" customHeight="1">
      <c r="C440" s="13"/>
      <c r="D440" s="13"/>
      <c r="E440" s="13"/>
      <c r="F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</row>
    <row r="441" ht="15.75" customHeight="1">
      <c r="C441" s="13"/>
      <c r="D441" s="13"/>
      <c r="E441" s="13"/>
      <c r="F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</row>
    <row r="442" ht="15.75" customHeight="1">
      <c r="C442" s="13"/>
      <c r="D442" s="13"/>
      <c r="E442" s="13"/>
      <c r="F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</row>
    <row r="443" ht="15.75" customHeight="1">
      <c r="C443" s="13"/>
      <c r="D443" s="13"/>
      <c r="E443" s="13"/>
      <c r="F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</row>
    <row r="444" ht="15.75" customHeight="1">
      <c r="C444" s="13"/>
      <c r="D444" s="13"/>
      <c r="E444" s="13"/>
      <c r="F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</row>
    <row r="445" ht="15.75" customHeight="1">
      <c r="C445" s="13"/>
      <c r="D445" s="13"/>
      <c r="E445" s="13"/>
      <c r="F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</row>
    <row r="446" ht="15.75" customHeight="1">
      <c r="C446" s="13"/>
      <c r="D446" s="13"/>
      <c r="E446" s="13"/>
      <c r="F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</row>
    <row r="447" ht="15.75" customHeight="1">
      <c r="C447" s="13"/>
      <c r="D447" s="13"/>
      <c r="E447" s="13"/>
      <c r="F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</row>
    <row r="448" ht="15.75" customHeight="1">
      <c r="C448" s="13"/>
      <c r="D448" s="13"/>
      <c r="E448" s="13"/>
      <c r="F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</row>
    <row r="449" ht="15.75" customHeight="1">
      <c r="C449" s="13"/>
      <c r="D449" s="13"/>
      <c r="E449" s="13"/>
      <c r="F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</row>
    <row r="450" ht="15.75" customHeight="1">
      <c r="C450" s="13"/>
      <c r="D450" s="13"/>
      <c r="E450" s="13"/>
      <c r="F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</row>
    <row r="451" ht="15.75" customHeight="1">
      <c r="C451" s="13"/>
      <c r="D451" s="13"/>
      <c r="E451" s="13"/>
      <c r="F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</row>
    <row r="452" ht="15.75" customHeight="1">
      <c r="C452" s="13"/>
      <c r="D452" s="13"/>
      <c r="E452" s="13"/>
      <c r="F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</row>
    <row r="453" ht="15.75" customHeight="1">
      <c r="C453" s="13"/>
      <c r="D453" s="13"/>
      <c r="E453" s="13"/>
      <c r="F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</row>
    <row r="454" ht="15.75" customHeight="1">
      <c r="C454" s="13"/>
      <c r="D454" s="13"/>
      <c r="E454" s="13"/>
      <c r="F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</row>
    <row r="455" ht="15.75" customHeight="1">
      <c r="C455" s="13"/>
      <c r="D455" s="13"/>
      <c r="E455" s="13"/>
      <c r="F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</row>
    <row r="456" ht="15.75" customHeight="1">
      <c r="C456" s="13"/>
      <c r="D456" s="13"/>
      <c r="E456" s="13"/>
      <c r="F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</row>
    <row r="457" ht="15.75" customHeight="1">
      <c r="C457" s="13"/>
      <c r="D457" s="13"/>
      <c r="E457" s="13"/>
      <c r="F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</row>
    <row r="458" ht="15.75" customHeight="1">
      <c r="C458" s="13"/>
      <c r="D458" s="13"/>
      <c r="E458" s="13"/>
      <c r="F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</row>
    <row r="459" ht="15.75" customHeight="1">
      <c r="C459" s="13"/>
      <c r="D459" s="13"/>
      <c r="E459" s="13"/>
      <c r="F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</row>
    <row r="460" ht="15.75" customHeight="1">
      <c r="C460" s="13"/>
      <c r="D460" s="13"/>
      <c r="E460" s="13"/>
      <c r="F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</row>
    <row r="461" ht="15.75" customHeight="1">
      <c r="C461" s="13"/>
      <c r="D461" s="13"/>
      <c r="E461" s="13"/>
      <c r="F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</row>
    <row r="462" ht="15.75" customHeight="1">
      <c r="C462" s="13"/>
      <c r="D462" s="13"/>
      <c r="E462" s="13"/>
      <c r="F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</row>
    <row r="463" ht="15.75" customHeight="1">
      <c r="C463" s="13"/>
      <c r="D463" s="13"/>
      <c r="E463" s="13"/>
      <c r="F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</row>
    <row r="464" ht="15.75" customHeight="1">
      <c r="C464" s="13"/>
      <c r="D464" s="13"/>
      <c r="E464" s="13"/>
      <c r="F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</row>
    <row r="465" ht="15.75" customHeight="1">
      <c r="C465" s="13"/>
      <c r="D465" s="13"/>
      <c r="E465" s="13"/>
      <c r="F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</row>
    <row r="466" ht="15.75" customHeight="1">
      <c r="C466" s="13"/>
      <c r="D466" s="13"/>
      <c r="E466" s="13"/>
      <c r="F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</row>
    <row r="467" ht="15.75" customHeight="1">
      <c r="C467" s="13"/>
      <c r="D467" s="13"/>
      <c r="E467" s="13"/>
      <c r="F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</row>
    <row r="468" ht="15.75" customHeight="1">
      <c r="C468" s="13"/>
      <c r="D468" s="13"/>
      <c r="E468" s="13"/>
      <c r="F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</row>
    <row r="469" ht="15.75" customHeight="1">
      <c r="C469" s="13"/>
      <c r="D469" s="13"/>
      <c r="E469" s="13"/>
      <c r="F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</row>
    <row r="470" ht="15.75" customHeight="1">
      <c r="C470" s="13"/>
      <c r="D470" s="13"/>
      <c r="E470" s="13"/>
      <c r="F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</row>
    <row r="471" ht="15.75" customHeight="1">
      <c r="C471" s="13"/>
      <c r="D471" s="13"/>
      <c r="E471" s="13"/>
      <c r="F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</row>
    <row r="472" ht="15.75" customHeight="1">
      <c r="C472" s="13"/>
      <c r="D472" s="13"/>
      <c r="E472" s="13"/>
      <c r="F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</row>
    <row r="473" ht="15.75" customHeight="1">
      <c r="C473" s="13"/>
      <c r="D473" s="13"/>
      <c r="E473" s="13"/>
      <c r="F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</row>
    <row r="474" ht="15.75" customHeight="1">
      <c r="C474" s="13"/>
      <c r="D474" s="13"/>
      <c r="E474" s="13"/>
      <c r="F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</row>
    <row r="475" ht="15.75" customHeight="1">
      <c r="C475" s="13"/>
      <c r="D475" s="13"/>
      <c r="E475" s="13"/>
      <c r="F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</row>
    <row r="476" ht="15.75" customHeight="1">
      <c r="C476" s="13"/>
      <c r="D476" s="13"/>
      <c r="E476" s="13"/>
      <c r="F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</row>
    <row r="477" ht="15.75" customHeight="1">
      <c r="C477" s="13"/>
      <c r="D477" s="13"/>
      <c r="E477" s="13"/>
      <c r="F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</row>
    <row r="478" ht="15.75" customHeight="1">
      <c r="C478" s="13"/>
      <c r="D478" s="13"/>
      <c r="E478" s="13"/>
      <c r="F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</row>
    <row r="479" ht="15.75" customHeight="1">
      <c r="C479" s="13"/>
      <c r="D479" s="13"/>
      <c r="E479" s="13"/>
      <c r="F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</row>
    <row r="480" ht="15.75" customHeight="1">
      <c r="C480" s="13"/>
      <c r="D480" s="13"/>
      <c r="E480" s="13"/>
      <c r="F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</row>
    <row r="481" ht="15.75" customHeight="1">
      <c r="C481" s="13"/>
      <c r="D481" s="13"/>
      <c r="E481" s="13"/>
      <c r="F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</row>
    <row r="482" ht="15.75" customHeight="1">
      <c r="C482" s="13"/>
      <c r="D482" s="13"/>
      <c r="E482" s="13"/>
      <c r="F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</row>
    <row r="483" ht="15.75" customHeight="1">
      <c r="C483" s="13"/>
      <c r="D483" s="13"/>
      <c r="E483" s="13"/>
      <c r="F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</row>
    <row r="484" ht="15.75" customHeight="1">
      <c r="C484" s="13"/>
      <c r="D484" s="13"/>
      <c r="E484" s="13"/>
      <c r="F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</row>
    <row r="485" ht="15.75" customHeight="1">
      <c r="C485" s="13"/>
      <c r="D485" s="13"/>
      <c r="E485" s="13"/>
      <c r="F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</row>
    <row r="486" ht="15.75" customHeight="1">
      <c r="C486" s="13"/>
      <c r="D486" s="13"/>
      <c r="E486" s="13"/>
      <c r="F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</row>
    <row r="487" ht="15.75" customHeight="1">
      <c r="C487" s="13"/>
      <c r="D487" s="13"/>
      <c r="E487" s="13"/>
      <c r="F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</row>
    <row r="488" ht="15.75" customHeight="1">
      <c r="C488" s="13"/>
      <c r="D488" s="13"/>
      <c r="E488" s="13"/>
      <c r="F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</row>
    <row r="489" ht="15.75" customHeight="1">
      <c r="C489" s="13"/>
      <c r="D489" s="13"/>
      <c r="E489" s="13"/>
      <c r="F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</row>
    <row r="490" ht="15.75" customHeight="1">
      <c r="C490" s="13"/>
      <c r="D490" s="13"/>
      <c r="E490" s="13"/>
      <c r="F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</row>
    <row r="491" ht="15.75" customHeight="1">
      <c r="C491" s="13"/>
      <c r="D491" s="13"/>
      <c r="E491" s="13"/>
      <c r="F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</row>
    <row r="492" ht="15.75" customHeight="1">
      <c r="C492" s="13"/>
      <c r="D492" s="13"/>
      <c r="E492" s="13"/>
      <c r="F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</row>
    <row r="493" ht="15.75" customHeight="1">
      <c r="C493" s="13"/>
      <c r="D493" s="13"/>
      <c r="E493" s="13"/>
      <c r="F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</row>
    <row r="494" ht="15.75" customHeight="1">
      <c r="C494" s="13"/>
      <c r="D494" s="13"/>
      <c r="E494" s="13"/>
      <c r="F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</row>
    <row r="495" ht="15.75" customHeight="1">
      <c r="C495" s="13"/>
      <c r="D495" s="13"/>
      <c r="E495" s="13"/>
      <c r="F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</row>
    <row r="496" ht="15.75" customHeight="1">
      <c r="C496" s="13"/>
      <c r="D496" s="13"/>
      <c r="E496" s="13"/>
      <c r="F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</row>
    <row r="497" ht="15.75" customHeight="1">
      <c r="C497" s="13"/>
      <c r="D497" s="13"/>
      <c r="E497" s="13"/>
      <c r="F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</row>
    <row r="498" ht="15.75" customHeight="1">
      <c r="C498" s="13"/>
      <c r="D498" s="13"/>
      <c r="E498" s="13"/>
      <c r="F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</row>
    <row r="499" ht="15.75" customHeight="1">
      <c r="C499" s="13"/>
      <c r="D499" s="13"/>
      <c r="E499" s="13"/>
      <c r="F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</row>
    <row r="500" ht="15.75" customHeight="1">
      <c r="C500" s="13"/>
      <c r="D500" s="13"/>
      <c r="E500" s="13"/>
      <c r="F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</row>
    <row r="501" ht="15.75" customHeight="1">
      <c r="C501" s="13"/>
      <c r="D501" s="13"/>
      <c r="E501" s="13"/>
      <c r="F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</row>
    <row r="502" ht="15.75" customHeight="1">
      <c r="C502" s="13"/>
      <c r="D502" s="13"/>
      <c r="E502" s="13"/>
      <c r="F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</row>
    <row r="503" ht="15.75" customHeight="1">
      <c r="C503" s="13"/>
      <c r="D503" s="13"/>
      <c r="E503" s="13"/>
      <c r="F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</row>
    <row r="504" ht="15.75" customHeight="1">
      <c r="C504" s="13"/>
      <c r="D504" s="13"/>
      <c r="E504" s="13"/>
      <c r="F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</row>
    <row r="505" ht="15.75" customHeight="1">
      <c r="C505" s="13"/>
      <c r="D505" s="13"/>
      <c r="E505" s="13"/>
      <c r="F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</row>
    <row r="506" ht="15.75" customHeight="1">
      <c r="C506" s="13"/>
      <c r="D506" s="13"/>
      <c r="E506" s="13"/>
      <c r="F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</row>
    <row r="507" ht="15.75" customHeight="1">
      <c r="C507" s="13"/>
      <c r="D507" s="13"/>
      <c r="E507" s="13"/>
      <c r="F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</row>
    <row r="508" ht="15.75" customHeight="1">
      <c r="C508" s="13"/>
      <c r="D508" s="13"/>
      <c r="E508" s="13"/>
      <c r="F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</row>
    <row r="509" ht="15.75" customHeight="1">
      <c r="C509" s="13"/>
      <c r="D509" s="13"/>
      <c r="E509" s="13"/>
      <c r="F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</row>
    <row r="510" ht="15.75" customHeight="1">
      <c r="C510" s="13"/>
      <c r="D510" s="13"/>
      <c r="E510" s="13"/>
      <c r="F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</row>
    <row r="511" ht="15.75" customHeight="1">
      <c r="C511" s="13"/>
      <c r="D511" s="13"/>
      <c r="E511" s="13"/>
      <c r="F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</row>
    <row r="512" ht="15.75" customHeight="1">
      <c r="C512" s="13"/>
      <c r="D512" s="13"/>
      <c r="E512" s="13"/>
      <c r="F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</row>
    <row r="513" ht="15.75" customHeight="1">
      <c r="C513" s="13"/>
      <c r="D513" s="13"/>
      <c r="E513" s="13"/>
      <c r="F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</row>
    <row r="514" ht="15.75" customHeight="1">
      <c r="C514" s="13"/>
      <c r="D514" s="13"/>
      <c r="E514" s="13"/>
      <c r="F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</row>
    <row r="515" ht="15.75" customHeight="1">
      <c r="C515" s="13"/>
      <c r="D515" s="13"/>
      <c r="E515" s="13"/>
      <c r="F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</row>
    <row r="516" ht="15.75" customHeight="1">
      <c r="C516" s="13"/>
      <c r="D516" s="13"/>
      <c r="E516" s="13"/>
      <c r="F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</row>
    <row r="517" ht="15.75" customHeight="1">
      <c r="C517" s="13"/>
      <c r="D517" s="13"/>
      <c r="E517" s="13"/>
      <c r="F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</row>
    <row r="518" ht="15.75" customHeight="1">
      <c r="C518" s="13"/>
      <c r="D518" s="13"/>
      <c r="E518" s="13"/>
      <c r="F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</row>
    <row r="519" ht="15.75" customHeight="1">
      <c r="C519" s="13"/>
      <c r="D519" s="13"/>
      <c r="E519" s="13"/>
      <c r="F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</row>
    <row r="520" ht="15.75" customHeight="1">
      <c r="C520" s="13"/>
      <c r="D520" s="13"/>
      <c r="E520" s="13"/>
      <c r="F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</row>
    <row r="521" ht="15.75" customHeight="1">
      <c r="C521" s="13"/>
      <c r="D521" s="13"/>
      <c r="E521" s="13"/>
      <c r="F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</row>
    <row r="522" ht="15.75" customHeight="1">
      <c r="C522" s="13"/>
      <c r="D522" s="13"/>
      <c r="E522" s="13"/>
      <c r="F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</row>
    <row r="523" ht="15.75" customHeight="1">
      <c r="C523" s="13"/>
      <c r="D523" s="13"/>
      <c r="E523" s="13"/>
      <c r="F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</row>
    <row r="524" ht="15.75" customHeight="1">
      <c r="C524" s="13"/>
      <c r="D524" s="13"/>
      <c r="E524" s="13"/>
      <c r="F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</row>
    <row r="525" ht="15.75" customHeight="1">
      <c r="C525" s="13"/>
      <c r="D525" s="13"/>
      <c r="E525" s="13"/>
      <c r="F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</row>
    <row r="526" ht="15.75" customHeight="1">
      <c r="C526" s="13"/>
      <c r="D526" s="13"/>
      <c r="E526" s="13"/>
      <c r="F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</row>
    <row r="527" ht="15.75" customHeight="1">
      <c r="C527" s="13"/>
      <c r="D527" s="13"/>
      <c r="E527" s="13"/>
      <c r="F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</row>
    <row r="528" ht="15.75" customHeight="1">
      <c r="C528" s="13"/>
      <c r="D528" s="13"/>
      <c r="E528" s="13"/>
      <c r="F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</row>
    <row r="529" ht="15.75" customHeight="1">
      <c r="C529" s="13"/>
      <c r="D529" s="13"/>
      <c r="E529" s="13"/>
      <c r="F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</row>
    <row r="530" ht="15.75" customHeight="1">
      <c r="C530" s="13"/>
      <c r="D530" s="13"/>
      <c r="E530" s="13"/>
      <c r="F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</row>
    <row r="531" ht="15.75" customHeight="1">
      <c r="C531" s="13"/>
      <c r="D531" s="13"/>
      <c r="E531" s="13"/>
      <c r="F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</row>
    <row r="532" ht="15.75" customHeight="1">
      <c r="C532" s="13"/>
      <c r="D532" s="13"/>
      <c r="E532" s="13"/>
      <c r="F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</row>
    <row r="533" ht="15.75" customHeight="1">
      <c r="C533" s="13"/>
      <c r="D533" s="13"/>
      <c r="E533" s="13"/>
      <c r="F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</row>
    <row r="534" ht="15.75" customHeight="1">
      <c r="C534" s="13"/>
      <c r="D534" s="13"/>
      <c r="E534" s="13"/>
      <c r="F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</row>
    <row r="535" ht="15.75" customHeight="1">
      <c r="C535" s="13"/>
      <c r="D535" s="13"/>
      <c r="E535" s="13"/>
      <c r="F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</row>
    <row r="536" ht="15.75" customHeight="1">
      <c r="C536" s="13"/>
      <c r="D536" s="13"/>
      <c r="E536" s="13"/>
      <c r="F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</row>
    <row r="537" ht="15.75" customHeight="1">
      <c r="C537" s="13"/>
      <c r="D537" s="13"/>
      <c r="E537" s="13"/>
      <c r="F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</row>
    <row r="538" ht="15.75" customHeight="1">
      <c r="C538" s="13"/>
      <c r="D538" s="13"/>
      <c r="E538" s="13"/>
      <c r="F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</row>
    <row r="539" ht="15.75" customHeight="1">
      <c r="C539" s="13"/>
      <c r="D539" s="13"/>
      <c r="E539" s="13"/>
      <c r="F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</row>
    <row r="540" ht="15.75" customHeight="1">
      <c r="C540" s="13"/>
      <c r="D540" s="13"/>
      <c r="E540" s="13"/>
      <c r="F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</row>
    <row r="541" ht="15.75" customHeight="1">
      <c r="C541" s="13"/>
      <c r="D541" s="13"/>
      <c r="E541" s="13"/>
      <c r="F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</row>
    <row r="542" ht="15.75" customHeight="1">
      <c r="C542" s="13"/>
      <c r="D542" s="13"/>
      <c r="E542" s="13"/>
      <c r="F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</row>
    <row r="543" ht="15.75" customHeight="1">
      <c r="C543" s="13"/>
      <c r="D543" s="13"/>
      <c r="E543" s="13"/>
      <c r="F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</row>
    <row r="544" ht="15.75" customHeight="1">
      <c r="C544" s="13"/>
      <c r="D544" s="13"/>
      <c r="E544" s="13"/>
      <c r="F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</row>
    <row r="545" ht="15.75" customHeight="1">
      <c r="C545" s="13"/>
      <c r="D545" s="13"/>
      <c r="E545" s="13"/>
      <c r="F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</row>
    <row r="546" ht="15.75" customHeight="1">
      <c r="C546" s="13"/>
      <c r="D546" s="13"/>
      <c r="E546" s="13"/>
      <c r="F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</row>
    <row r="547" ht="15.75" customHeight="1">
      <c r="C547" s="13"/>
      <c r="D547" s="13"/>
      <c r="E547" s="13"/>
      <c r="F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</row>
    <row r="548" ht="15.75" customHeight="1">
      <c r="C548" s="13"/>
      <c r="D548" s="13"/>
      <c r="E548" s="13"/>
      <c r="F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</row>
    <row r="549" ht="15.75" customHeight="1">
      <c r="C549" s="13"/>
      <c r="D549" s="13"/>
      <c r="E549" s="13"/>
      <c r="F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</row>
    <row r="550" ht="15.75" customHeight="1">
      <c r="C550" s="13"/>
      <c r="D550" s="13"/>
      <c r="E550" s="13"/>
      <c r="F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</row>
    <row r="551" ht="15.75" customHeight="1">
      <c r="C551" s="13"/>
      <c r="D551" s="13"/>
      <c r="E551" s="13"/>
      <c r="F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</row>
    <row r="552" ht="15.75" customHeight="1">
      <c r="C552" s="13"/>
      <c r="D552" s="13"/>
      <c r="E552" s="13"/>
      <c r="F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</row>
    <row r="553" ht="15.75" customHeight="1">
      <c r="C553" s="13"/>
      <c r="D553" s="13"/>
      <c r="E553" s="13"/>
      <c r="F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</row>
    <row r="554" ht="15.75" customHeight="1">
      <c r="C554" s="13"/>
      <c r="D554" s="13"/>
      <c r="E554" s="13"/>
      <c r="F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</row>
    <row r="555" ht="15.75" customHeight="1">
      <c r="C555" s="13"/>
      <c r="D555" s="13"/>
      <c r="E555" s="13"/>
      <c r="F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</row>
    <row r="556" ht="15.75" customHeight="1">
      <c r="C556" s="13"/>
      <c r="D556" s="13"/>
      <c r="E556" s="13"/>
      <c r="F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</row>
    <row r="557" ht="15.75" customHeight="1">
      <c r="C557" s="13"/>
      <c r="D557" s="13"/>
      <c r="E557" s="13"/>
      <c r="F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</row>
    <row r="558" ht="15.75" customHeight="1">
      <c r="C558" s="13"/>
      <c r="D558" s="13"/>
      <c r="E558" s="13"/>
      <c r="F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</row>
    <row r="559" ht="15.75" customHeight="1">
      <c r="C559" s="13"/>
      <c r="D559" s="13"/>
      <c r="E559" s="13"/>
      <c r="F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</row>
    <row r="560" ht="15.75" customHeight="1">
      <c r="C560" s="13"/>
      <c r="D560" s="13"/>
      <c r="E560" s="13"/>
      <c r="F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</row>
    <row r="561" ht="15.75" customHeight="1">
      <c r="C561" s="13"/>
      <c r="D561" s="13"/>
      <c r="E561" s="13"/>
      <c r="F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</row>
    <row r="562" ht="15.75" customHeight="1">
      <c r="C562" s="13"/>
      <c r="D562" s="13"/>
      <c r="E562" s="13"/>
      <c r="F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</row>
    <row r="563" ht="15.75" customHeight="1">
      <c r="C563" s="13"/>
      <c r="D563" s="13"/>
      <c r="E563" s="13"/>
      <c r="F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</row>
    <row r="564" ht="15.75" customHeight="1">
      <c r="C564" s="13"/>
      <c r="D564" s="13"/>
      <c r="E564" s="13"/>
      <c r="F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</row>
    <row r="565" ht="15.75" customHeight="1">
      <c r="C565" s="13"/>
      <c r="D565" s="13"/>
      <c r="E565" s="13"/>
      <c r="F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</row>
    <row r="566" ht="15.75" customHeight="1">
      <c r="C566" s="13"/>
      <c r="D566" s="13"/>
      <c r="E566" s="13"/>
      <c r="F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</row>
    <row r="567" ht="15.75" customHeight="1">
      <c r="C567" s="13"/>
      <c r="D567" s="13"/>
      <c r="E567" s="13"/>
      <c r="F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</row>
    <row r="568" ht="15.75" customHeight="1">
      <c r="C568" s="13"/>
      <c r="D568" s="13"/>
      <c r="E568" s="13"/>
      <c r="F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</row>
    <row r="569" ht="15.75" customHeight="1">
      <c r="C569" s="13"/>
      <c r="D569" s="13"/>
      <c r="E569" s="13"/>
      <c r="F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</row>
    <row r="570" ht="15.75" customHeight="1">
      <c r="C570" s="13"/>
      <c r="D570" s="13"/>
      <c r="E570" s="13"/>
      <c r="F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</row>
    <row r="571" ht="15.75" customHeight="1">
      <c r="C571" s="13"/>
      <c r="D571" s="13"/>
      <c r="E571" s="13"/>
      <c r="F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</row>
    <row r="572" ht="15.75" customHeight="1">
      <c r="C572" s="13"/>
      <c r="D572" s="13"/>
      <c r="E572" s="13"/>
      <c r="F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</row>
    <row r="573" ht="15.75" customHeight="1">
      <c r="C573" s="13"/>
      <c r="D573" s="13"/>
      <c r="E573" s="13"/>
      <c r="F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</row>
    <row r="574" ht="15.75" customHeight="1">
      <c r="C574" s="13"/>
      <c r="D574" s="13"/>
      <c r="E574" s="13"/>
      <c r="F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</row>
    <row r="575" ht="15.75" customHeight="1">
      <c r="C575" s="13"/>
      <c r="D575" s="13"/>
      <c r="E575" s="13"/>
      <c r="F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</row>
    <row r="576" ht="15.75" customHeight="1">
      <c r="C576" s="13"/>
      <c r="D576" s="13"/>
      <c r="E576" s="13"/>
      <c r="F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</row>
    <row r="577" ht="15.75" customHeight="1">
      <c r="C577" s="13"/>
      <c r="D577" s="13"/>
      <c r="E577" s="13"/>
      <c r="F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</row>
    <row r="578" ht="15.75" customHeight="1">
      <c r="C578" s="13"/>
      <c r="D578" s="13"/>
      <c r="E578" s="13"/>
      <c r="F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</row>
    <row r="579" ht="15.75" customHeight="1">
      <c r="C579" s="13"/>
      <c r="D579" s="13"/>
      <c r="E579" s="13"/>
      <c r="F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</row>
    <row r="580" ht="15.75" customHeight="1">
      <c r="C580" s="13"/>
      <c r="D580" s="13"/>
      <c r="E580" s="13"/>
      <c r="F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</row>
    <row r="581" ht="15.75" customHeight="1">
      <c r="C581" s="13"/>
      <c r="D581" s="13"/>
      <c r="E581" s="13"/>
      <c r="F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</row>
    <row r="582" ht="15.75" customHeight="1">
      <c r="C582" s="13"/>
      <c r="D582" s="13"/>
      <c r="E582" s="13"/>
      <c r="F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</row>
    <row r="583" ht="15.75" customHeight="1">
      <c r="C583" s="13"/>
      <c r="D583" s="13"/>
      <c r="E583" s="13"/>
      <c r="F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</row>
    <row r="584" ht="15.75" customHeight="1">
      <c r="C584" s="13"/>
      <c r="D584" s="13"/>
      <c r="E584" s="13"/>
      <c r="F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</row>
    <row r="585" ht="15.75" customHeight="1">
      <c r="C585" s="13"/>
      <c r="D585" s="13"/>
      <c r="E585" s="13"/>
      <c r="F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</row>
    <row r="586" ht="15.75" customHeight="1">
      <c r="C586" s="13"/>
      <c r="D586" s="13"/>
      <c r="E586" s="13"/>
      <c r="F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</row>
    <row r="587" ht="15.75" customHeight="1">
      <c r="C587" s="13"/>
      <c r="D587" s="13"/>
      <c r="E587" s="13"/>
      <c r="F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</row>
    <row r="588" ht="15.75" customHeight="1">
      <c r="C588" s="13"/>
      <c r="D588" s="13"/>
      <c r="E588" s="13"/>
      <c r="F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</row>
    <row r="589" ht="15.75" customHeight="1">
      <c r="C589" s="13"/>
      <c r="D589" s="13"/>
      <c r="E589" s="13"/>
      <c r="F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</row>
    <row r="590" ht="15.75" customHeight="1">
      <c r="C590" s="13"/>
      <c r="D590" s="13"/>
      <c r="E590" s="13"/>
      <c r="F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</row>
    <row r="591" ht="15.75" customHeight="1">
      <c r="C591" s="13"/>
      <c r="D591" s="13"/>
      <c r="E591" s="13"/>
      <c r="F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</row>
    <row r="592" ht="15.75" customHeight="1">
      <c r="C592" s="13"/>
      <c r="D592" s="13"/>
      <c r="E592" s="13"/>
      <c r="F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</row>
    <row r="593" ht="15.75" customHeight="1">
      <c r="C593" s="13"/>
      <c r="D593" s="13"/>
      <c r="E593" s="13"/>
      <c r="F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</row>
    <row r="594" ht="15.75" customHeight="1">
      <c r="C594" s="13"/>
      <c r="D594" s="13"/>
      <c r="E594" s="13"/>
      <c r="F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</row>
    <row r="595" ht="15.75" customHeight="1">
      <c r="C595" s="13"/>
      <c r="D595" s="13"/>
      <c r="E595" s="13"/>
      <c r="F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</row>
    <row r="596" ht="15.75" customHeight="1">
      <c r="C596" s="13"/>
      <c r="D596" s="13"/>
      <c r="E596" s="13"/>
      <c r="F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</row>
    <row r="597" ht="15.75" customHeight="1">
      <c r="C597" s="13"/>
      <c r="D597" s="13"/>
      <c r="E597" s="13"/>
      <c r="F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</row>
    <row r="598" ht="15.75" customHeight="1">
      <c r="C598" s="13"/>
      <c r="D598" s="13"/>
      <c r="E598" s="13"/>
      <c r="F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</row>
    <row r="599" ht="15.75" customHeight="1">
      <c r="C599" s="13"/>
      <c r="D599" s="13"/>
      <c r="E599" s="13"/>
      <c r="F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</row>
    <row r="600" ht="15.75" customHeight="1">
      <c r="C600" s="13"/>
      <c r="D600" s="13"/>
      <c r="E600" s="13"/>
      <c r="F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</row>
    <row r="601" ht="15.75" customHeight="1">
      <c r="C601" s="13"/>
      <c r="D601" s="13"/>
      <c r="E601" s="13"/>
      <c r="F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</row>
    <row r="602" ht="15.75" customHeight="1">
      <c r="C602" s="13"/>
      <c r="D602" s="13"/>
      <c r="E602" s="13"/>
      <c r="F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</row>
    <row r="603" ht="15.75" customHeight="1">
      <c r="C603" s="13"/>
      <c r="D603" s="13"/>
      <c r="E603" s="13"/>
      <c r="F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</row>
    <row r="604" ht="15.75" customHeight="1">
      <c r="C604" s="13"/>
      <c r="D604" s="13"/>
      <c r="E604" s="13"/>
      <c r="F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</row>
    <row r="605" ht="15.75" customHeight="1">
      <c r="C605" s="13"/>
      <c r="D605" s="13"/>
      <c r="E605" s="13"/>
      <c r="F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</row>
    <row r="606" ht="15.75" customHeight="1">
      <c r="C606" s="13"/>
      <c r="D606" s="13"/>
      <c r="E606" s="13"/>
      <c r="F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</row>
    <row r="607" ht="15.75" customHeight="1">
      <c r="C607" s="13"/>
      <c r="D607" s="13"/>
      <c r="E607" s="13"/>
      <c r="F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</row>
    <row r="608" ht="15.75" customHeight="1">
      <c r="C608" s="13"/>
      <c r="D608" s="13"/>
      <c r="E608" s="13"/>
      <c r="F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</row>
    <row r="609" ht="15.75" customHeight="1">
      <c r="C609" s="13"/>
      <c r="D609" s="13"/>
      <c r="E609" s="13"/>
      <c r="F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</row>
    <row r="610" ht="15.75" customHeight="1">
      <c r="C610" s="13"/>
      <c r="D610" s="13"/>
      <c r="E610" s="13"/>
      <c r="F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</row>
    <row r="611" ht="15.75" customHeight="1">
      <c r="C611" s="13"/>
      <c r="D611" s="13"/>
      <c r="E611" s="13"/>
      <c r="F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</row>
    <row r="612" ht="15.75" customHeight="1">
      <c r="C612" s="13"/>
      <c r="D612" s="13"/>
      <c r="E612" s="13"/>
      <c r="F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</row>
    <row r="613" ht="15.75" customHeight="1">
      <c r="C613" s="13"/>
      <c r="D613" s="13"/>
      <c r="E613" s="13"/>
      <c r="F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</row>
    <row r="614" ht="15.75" customHeight="1">
      <c r="C614" s="13"/>
      <c r="D614" s="13"/>
      <c r="E614" s="13"/>
      <c r="F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</row>
    <row r="615" ht="15.75" customHeight="1">
      <c r="C615" s="13"/>
      <c r="D615" s="13"/>
      <c r="E615" s="13"/>
      <c r="F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</row>
    <row r="616" ht="15.75" customHeight="1">
      <c r="C616" s="13"/>
      <c r="D616" s="13"/>
      <c r="E616" s="13"/>
      <c r="F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</row>
    <row r="617" ht="15.75" customHeight="1">
      <c r="C617" s="13"/>
      <c r="D617" s="13"/>
      <c r="E617" s="13"/>
      <c r="F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</row>
    <row r="618" ht="15.75" customHeight="1">
      <c r="C618" s="13"/>
      <c r="D618" s="13"/>
      <c r="E618" s="13"/>
      <c r="F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</row>
    <row r="619" ht="15.75" customHeight="1">
      <c r="C619" s="13"/>
      <c r="D619" s="13"/>
      <c r="E619" s="13"/>
      <c r="F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</row>
    <row r="620" ht="15.75" customHeight="1">
      <c r="C620" s="13"/>
      <c r="D620" s="13"/>
      <c r="E620" s="13"/>
      <c r="F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</row>
    <row r="621" ht="15.75" customHeight="1">
      <c r="C621" s="13"/>
      <c r="D621" s="13"/>
      <c r="E621" s="13"/>
      <c r="F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</row>
    <row r="622" ht="15.75" customHeight="1">
      <c r="C622" s="13"/>
      <c r="D622" s="13"/>
      <c r="E622" s="13"/>
      <c r="F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</row>
    <row r="623" ht="15.75" customHeight="1">
      <c r="C623" s="13"/>
      <c r="D623" s="13"/>
      <c r="E623" s="13"/>
      <c r="F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</row>
    <row r="624" ht="15.75" customHeight="1">
      <c r="C624" s="13"/>
      <c r="D624" s="13"/>
      <c r="E624" s="13"/>
      <c r="F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</row>
    <row r="625" ht="15.75" customHeight="1">
      <c r="C625" s="13"/>
      <c r="D625" s="13"/>
      <c r="E625" s="13"/>
      <c r="F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</row>
    <row r="626" ht="15.75" customHeight="1">
      <c r="C626" s="13"/>
      <c r="D626" s="13"/>
      <c r="E626" s="13"/>
      <c r="F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</row>
    <row r="627" ht="15.75" customHeight="1">
      <c r="C627" s="13"/>
      <c r="D627" s="13"/>
      <c r="E627" s="13"/>
      <c r="F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</row>
    <row r="628" ht="15.75" customHeight="1">
      <c r="C628" s="13"/>
      <c r="D628" s="13"/>
      <c r="E628" s="13"/>
      <c r="F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</row>
    <row r="629" ht="15.75" customHeight="1">
      <c r="C629" s="13"/>
      <c r="D629" s="13"/>
      <c r="E629" s="13"/>
      <c r="F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</row>
    <row r="630" ht="15.75" customHeight="1">
      <c r="C630" s="13"/>
      <c r="D630" s="13"/>
      <c r="E630" s="13"/>
      <c r="F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</row>
    <row r="631" ht="15.75" customHeight="1">
      <c r="C631" s="13"/>
      <c r="D631" s="13"/>
      <c r="E631" s="13"/>
      <c r="F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</row>
    <row r="632" ht="15.75" customHeight="1">
      <c r="C632" s="13"/>
      <c r="D632" s="13"/>
      <c r="E632" s="13"/>
      <c r="F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</row>
    <row r="633" ht="15.75" customHeight="1">
      <c r="C633" s="13"/>
      <c r="D633" s="13"/>
      <c r="E633" s="13"/>
      <c r="F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</row>
    <row r="634" ht="15.75" customHeight="1">
      <c r="C634" s="13"/>
      <c r="D634" s="13"/>
      <c r="E634" s="13"/>
      <c r="F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</row>
    <row r="635" ht="15.75" customHeight="1">
      <c r="C635" s="13"/>
      <c r="D635" s="13"/>
      <c r="E635" s="13"/>
      <c r="F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</row>
    <row r="636" ht="15.75" customHeight="1">
      <c r="C636" s="13"/>
      <c r="D636" s="13"/>
      <c r="E636" s="13"/>
      <c r="F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</row>
    <row r="637" ht="15.75" customHeight="1">
      <c r="C637" s="13"/>
      <c r="D637" s="13"/>
      <c r="E637" s="13"/>
      <c r="F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</row>
    <row r="638" ht="15.75" customHeight="1">
      <c r="C638" s="13"/>
      <c r="D638" s="13"/>
      <c r="E638" s="13"/>
      <c r="F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</row>
    <row r="639" ht="15.75" customHeight="1">
      <c r="C639" s="13"/>
      <c r="D639" s="13"/>
      <c r="E639" s="13"/>
      <c r="F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</row>
    <row r="640" ht="15.75" customHeight="1">
      <c r="C640" s="13"/>
      <c r="D640" s="13"/>
      <c r="E640" s="13"/>
      <c r="F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</row>
    <row r="641" ht="15.75" customHeight="1">
      <c r="C641" s="13"/>
      <c r="D641" s="13"/>
      <c r="E641" s="13"/>
      <c r="F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</row>
    <row r="642" ht="15.75" customHeight="1">
      <c r="C642" s="13"/>
      <c r="D642" s="13"/>
      <c r="E642" s="13"/>
      <c r="F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</row>
    <row r="643" ht="15.75" customHeight="1">
      <c r="C643" s="13"/>
      <c r="D643" s="13"/>
      <c r="E643" s="13"/>
      <c r="F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</row>
    <row r="644" ht="15.75" customHeight="1">
      <c r="C644" s="13"/>
      <c r="D644" s="13"/>
      <c r="E644" s="13"/>
      <c r="F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</row>
    <row r="645" ht="15.75" customHeight="1">
      <c r="C645" s="13"/>
      <c r="D645" s="13"/>
      <c r="E645" s="13"/>
      <c r="F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</row>
    <row r="646" ht="15.75" customHeight="1">
      <c r="C646" s="13"/>
      <c r="D646" s="13"/>
      <c r="E646" s="13"/>
      <c r="F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</row>
    <row r="647" ht="15.75" customHeight="1">
      <c r="C647" s="13"/>
      <c r="D647" s="13"/>
      <c r="E647" s="13"/>
      <c r="F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</row>
    <row r="648" ht="15.75" customHeight="1">
      <c r="C648" s="13"/>
      <c r="D648" s="13"/>
      <c r="E648" s="13"/>
      <c r="F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</row>
    <row r="649" ht="15.75" customHeight="1">
      <c r="C649" s="13"/>
      <c r="D649" s="13"/>
      <c r="E649" s="13"/>
      <c r="F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</row>
    <row r="650" ht="15.75" customHeight="1">
      <c r="C650" s="13"/>
      <c r="D650" s="13"/>
      <c r="E650" s="13"/>
      <c r="F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</row>
    <row r="651" ht="15.75" customHeight="1">
      <c r="C651" s="13"/>
      <c r="D651" s="13"/>
      <c r="E651" s="13"/>
      <c r="F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</row>
    <row r="652" ht="15.75" customHeight="1">
      <c r="C652" s="13"/>
      <c r="D652" s="13"/>
      <c r="E652" s="13"/>
      <c r="F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</row>
    <row r="653" ht="15.75" customHeight="1">
      <c r="C653" s="13"/>
      <c r="D653" s="13"/>
      <c r="E653" s="13"/>
      <c r="F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</row>
    <row r="654" ht="15.75" customHeight="1">
      <c r="C654" s="13"/>
      <c r="D654" s="13"/>
      <c r="E654" s="13"/>
      <c r="F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</row>
    <row r="655" ht="15.75" customHeight="1">
      <c r="C655" s="13"/>
      <c r="D655" s="13"/>
      <c r="E655" s="13"/>
      <c r="F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</row>
    <row r="656" ht="15.75" customHeight="1">
      <c r="C656" s="13"/>
      <c r="D656" s="13"/>
      <c r="E656" s="13"/>
      <c r="F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</row>
    <row r="657" ht="15.75" customHeight="1">
      <c r="C657" s="13"/>
      <c r="D657" s="13"/>
      <c r="E657" s="13"/>
      <c r="F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</row>
    <row r="658" ht="15.75" customHeight="1">
      <c r="C658" s="13"/>
      <c r="D658" s="13"/>
      <c r="E658" s="13"/>
      <c r="F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</row>
    <row r="659" ht="15.75" customHeight="1">
      <c r="C659" s="13"/>
      <c r="D659" s="13"/>
      <c r="E659" s="13"/>
      <c r="F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</row>
    <row r="660" ht="15.75" customHeight="1">
      <c r="C660" s="13"/>
      <c r="D660" s="13"/>
      <c r="E660" s="13"/>
      <c r="F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</row>
    <row r="661" ht="15.75" customHeight="1">
      <c r="C661" s="13"/>
      <c r="D661" s="13"/>
      <c r="E661" s="13"/>
      <c r="F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</row>
    <row r="662" ht="15.75" customHeight="1">
      <c r="C662" s="13"/>
      <c r="D662" s="13"/>
      <c r="E662" s="13"/>
      <c r="F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</row>
    <row r="663" ht="15.75" customHeight="1">
      <c r="C663" s="13"/>
      <c r="D663" s="13"/>
      <c r="E663" s="13"/>
      <c r="F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</row>
    <row r="664" ht="15.75" customHeight="1">
      <c r="C664" s="13"/>
      <c r="D664" s="13"/>
      <c r="E664" s="13"/>
      <c r="F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</row>
    <row r="665" ht="15.75" customHeight="1">
      <c r="C665" s="13"/>
      <c r="D665" s="13"/>
      <c r="E665" s="13"/>
      <c r="F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</row>
    <row r="666" ht="15.75" customHeight="1">
      <c r="C666" s="13"/>
      <c r="D666" s="13"/>
      <c r="E666" s="13"/>
      <c r="F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</row>
    <row r="667" ht="15.75" customHeight="1">
      <c r="C667" s="13"/>
      <c r="D667" s="13"/>
      <c r="E667" s="13"/>
      <c r="F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</row>
    <row r="668" ht="15.75" customHeight="1">
      <c r="C668" s="13"/>
      <c r="D668" s="13"/>
      <c r="E668" s="13"/>
      <c r="F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</row>
    <row r="669" ht="15.75" customHeight="1">
      <c r="C669" s="13"/>
      <c r="D669" s="13"/>
      <c r="E669" s="13"/>
      <c r="F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</row>
    <row r="670" ht="15.75" customHeight="1">
      <c r="C670" s="13"/>
      <c r="D670" s="13"/>
      <c r="E670" s="13"/>
      <c r="F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</row>
    <row r="671" ht="15.75" customHeight="1">
      <c r="C671" s="13"/>
      <c r="D671" s="13"/>
      <c r="E671" s="13"/>
      <c r="F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</row>
    <row r="672" ht="15.75" customHeight="1">
      <c r="C672" s="13"/>
      <c r="D672" s="13"/>
      <c r="E672" s="13"/>
      <c r="F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</row>
    <row r="673" ht="15.75" customHeight="1">
      <c r="C673" s="13"/>
      <c r="D673" s="13"/>
      <c r="E673" s="13"/>
      <c r="F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</row>
    <row r="674" ht="15.75" customHeight="1">
      <c r="C674" s="13"/>
      <c r="D674" s="13"/>
      <c r="E674" s="13"/>
      <c r="F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</row>
    <row r="675" ht="15.75" customHeight="1">
      <c r="C675" s="13"/>
      <c r="D675" s="13"/>
      <c r="E675" s="13"/>
      <c r="F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</row>
    <row r="676" ht="15.75" customHeight="1">
      <c r="C676" s="13"/>
      <c r="D676" s="13"/>
      <c r="E676" s="13"/>
      <c r="F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</row>
    <row r="677" ht="15.75" customHeight="1">
      <c r="C677" s="13"/>
      <c r="D677" s="13"/>
      <c r="E677" s="13"/>
      <c r="F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</row>
    <row r="678" ht="15.75" customHeight="1">
      <c r="C678" s="13"/>
      <c r="D678" s="13"/>
      <c r="E678" s="13"/>
      <c r="F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</row>
    <row r="679" ht="15.75" customHeight="1">
      <c r="C679" s="13"/>
      <c r="D679" s="13"/>
      <c r="E679" s="13"/>
      <c r="F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</row>
    <row r="680" ht="15.75" customHeight="1">
      <c r="C680" s="13"/>
      <c r="D680" s="13"/>
      <c r="E680" s="13"/>
      <c r="F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</row>
    <row r="681" ht="15.75" customHeight="1">
      <c r="C681" s="13"/>
      <c r="D681" s="13"/>
      <c r="E681" s="13"/>
      <c r="F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</row>
    <row r="682" ht="15.75" customHeight="1">
      <c r="C682" s="13"/>
      <c r="D682" s="13"/>
      <c r="E682" s="13"/>
      <c r="F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</row>
    <row r="683" ht="15.75" customHeight="1">
      <c r="C683" s="13"/>
      <c r="D683" s="13"/>
      <c r="E683" s="13"/>
      <c r="F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</row>
    <row r="684" ht="15.75" customHeight="1">
      <c r="C684" s="13"/>
      <c r="D684" s="13"/>
      <c r="E684" s="13"/>
      <c r="F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</row>
    <row r="685" ht="15.75" customHeight="1">
      <c r="C685" s="13"/>
      <c r="D685" s="13"/>
      <c r="E685" s="13"/>
      <c r="F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</row>
    <row r="686" ht="15.75" customHeight="1">
      <c r="C686" s="13"/>
      <c r="D686" s="13"/>
      <c r="E686" s="13"/>
      <c r="F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</row>
    <row r="687" ht="15.75" customHeight="1">
      <c r="C687" s="13"/>
      <c r="D687" s="13"/>
      <c r="E687" s="13"/>
      <c r="F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</row>
    <row r="688" ht="15.75" customHeight="1">
      <c r="C688" s="13"/>
      <c r="D688" s="13"/>
      <c r="E688" s="13"/>
      <c r="F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</row>
    <row r="689" ht="15.75" customHeight="1">
      <c r="C689" s="13"/>
      <c r="D689" s="13"/>
      <c r="E689" s="13"/>
      <c r="F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</row>
    <row r="690" ht="15.75" customHeight="1">
      <c r="C690" s="13"/>
      <c r="D690" s="13"/>
      <c r="E690" s="13"/>
      <c r="F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</row>
    <row r="691" ht="15.75" customHeight="1">
      <c r="C691" s="13"/>
      <c r="D691" s="13"/>
      <c r="E691" s="13"/>
      <c r="F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</row>
    <row r="692" ht="15.75" customHeight="1">
      <c r="C692" s="13"/>
      <c r="D692" s="13"/>
      <c r="E692" s="13"/>
      <c r="F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</row>
    <row r="693" ht="15.75" customHeight="1">
      <c r="C693" s="13"/>
      <c r="D693" s="13"/>
      <c r="E693" s="13"/>
      <c r="F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</row>
    <row r="694" ht="15.75" customHeight="1">
      <c r="C694" s="13"/>
      <c r="D694" s="13"/>
      <c r="E694" s="13"/>
      <c r="F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</row>
    <row r="695" ht="15.75" customHeight="1">
      <c r="C695" s="13"/>
      <c r="D695" s="13"/>
      <c r="E695" s="13"/>
      <c r="F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</row>
    <row r="696" ht="15.75" customHeight="1">
      <c r="C696" s="13"/>
      <c r="D696" s="13"/>
      <c r="E696" s="13"/>
      <c r="F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</row>
    <row r="697" ht="15.75" customHeight="1">
      <c r="C697" s="13"/>
      <c r="D697" s="13"/>
      <c r="E697" s="13"/>
      <c r="F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</row>
    <row r="698" ht="15.75" customHeight="1">
      <c r="C698" s="13"/>
      <c r="D698" s="13"/>
      <c r="E698" s="13"/>
      <c r="F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</row>
    <row r="699" ht="15.75" customHeight="1">
      <c r="C699" s="13"/>
      <c r="D699" s="13"/>
      <c r="E699" s="13"/>
      <c r="F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</row>
    <row r="700" ht="15.75" customHeight="1">
      <c r="C700" s="13"/>
      <c r="D700" s="13"/>
      <c r="E700" s="13"/>
      <c r="F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</row>
    <row r="701" ht="15.75" customHeight="1">
      <c r="C701" s="13"/>
      <c r="D701" s="13"/>
      <c r="E701" s="13"/>
      <c r="F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</row>
    <row r="702" ht="15.75" customHeight="1">
      <c r="C702" s="13"/>
      <c r="D702" s="13"/>
      <c r="E702" s="13"/>
      <c r="F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</row>
    <row r="703" ht="15.75" customHeight="1">
      <c r="C703" s="13"/>
      <c r="D703" s="13"/>
      <c r="E703" s="13"/>
      <c r="F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</row>
    <row r="704" ht="15.75" customHeight="1">
      <c r="C704" s="13"/>
      <c r="D704" s="13"/>
      <c r="E704" s="13"/>
      <c r="F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</row>
    <row r="705" ht="15.75" customHeight="1">
      <c r="C705" s="13"/>
      <c r="D705" s="13"/>
      <c r="E705" s="13"/>
      <c r="F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</row>
    <row r="706" ht="15.75" customHeight="1">
      <c r="C706" s="13"/>
      <c r="D706" s="13"/>
      <c r="E706" s="13"/>
      <c r="F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</row>
    <row r="707" ht="15.75" customHeight="1">
      <c r="C707" s="13"/>
      <c r="D707" s="13"/>
      <c r="E707" s="13"/>
      <c r="F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</row>
    <row r="708" ht="15.75" customHeight="1">
      <c r="C708" s="13"/>
      <c r="D708" s="13"/>
      <c r="E708" s="13"/>
      <c r="F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</row>
    <row r="709" ht="15.75" customHeight="1">
      <c r="C709" s="13"/>
      <c r="D709" s="13"/>
      <c r="E709" s="13"/>
      <c r="F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</row>
    <row r="710" ht="15.75" customHeight="1">
      <c r="C710" s="13"/>
      <c r="D710" s="13"/>
      <c r="E710" s="13"/>
      <c r="F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</row>
    <row r="711" ht="15.75" customHeight="1">
      <c r="C711" s="13"/>
      <c r="D711" s="13"/>
      <c r="E711" s="13"/>
      <c r="F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</row>
    <row r="712" ht="15.75" customHeight="1">
      <c r="C712" s="13"/>
      <c r="D712" s="13"/>
      <c r="E712" s="13"/>
      <c r="F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</row>
    <row r="713" ht="15.75" customHeight="1">
      <c r="C713" s="13"/>
      <c r="D713" s="13"/>
      <c r="E713" s="13"/>
      <c r="F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</row>
    <row r="714" ht="15.75" customHeight="1">
      <c r="C714" s="13"/>
      <c r="D714" s="13"/>
      <c r="E714" s="13"/>
      <c r="F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</row>
    <row r="715" ht="15.75" customHeight="1">
      <c r="C715" s="13"/>
      <c r="D715" s="13"/>
      <c r="E715" s="13"/>
      <c r="F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</row>
    <row r="716" ht="15.75" customHeight="1">
      <c r="C716" s="13"/>
      <c r="D716" s="13"/>
      <c r="E716" s="13"/>
      <c r="F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</row>
    <row r="717" ht="15.75" customHeight="1">
      <c r="C717" s="13"/>
      <c r="D717" s="13"/>
      <c r="E717" s="13"/>
      <c r="F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</row>
    <row r="718" ht="15.75" customHeight="1">
      <c r="C718" s="13"/>
      <c r="D718" s="13"/>
      <c r="E718" s="13"/>
      <c r="F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</row>
    <row r="719" ht="15.75" customHeight="1">
      <c r="C719" s="13"/>
      <c r="D719" s="13"/>
      <c r="E719" s="13"/>
      <c r="F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</row>
    <row r="720" ht="15.75" customHeight="1">
      <c r="C720" s="13"/>
      <c r="D720" s="13"/>
      <c r="E720" s="13"/>
      <c r="F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</row>
    <row r="721" ht="15.75" customHeight="1">
      <c r="C721" s="13"/>
      <c r="D721" s="13"/>
      <c r="E721" s="13"/>
      <c r="F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</row>
    <row r="722" ht="15.75" customHeight="1">
      <c r="C722" s="13"/>
      <c r="D722" s="13"/>
      <c r="E722" s="13"/>
      <c r="F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</row>
    <row r="723" ht="15.75" customHeight="1">
      <c r="C723" s="13"/>
      <c r="D723" s="13"/>
      <c r="E723" s="13"/>
      <c r="F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</row>
    <row r="724" ht="15.75" customHeight="1">
      <c r="C724" s="13"/>
      <c r="D724" s="13"/>
      <c r="E724" s="13"/>
      <c r="F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</row>
    <row r="725" ht="15.75" customHeight="1">
      <c r="C725" s="13"/>
      <c r="D725" s="13"/>
      <c r="E725" s="13"/>
      <c r="F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</row>
    <row r="726" ht="15.75" customHeight="1">
      <c r="C726" s="13"/>
      <c r="D726" s="13"/>
      <c r="E726" s="13"/>
      <c r="F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</row>
    <row r="727" ht="15.75" customHeight="1">
      <c r="C727" s="13"/>
      <c r="D727" s="13"/>
      <c r="E727" s="13"/>
      <c r="F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</row>
    <row r="728" ht="15.75" customHeight="1">
      <c r="C728" s="13"/>
      <c r="D728" s="13"/>
      <c r="E728" s="13"/>
      <c r="F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</row>
    <row r="729" ht="15.75" customHeight="1">
      <c r="C729" s="13"/>
      <c r="D729" s="13"/>
      <c r="E729" s="13"/>
      <c r="F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</row>
    <row r="730" ht="15.75" customHeight="1">
      <c r="C730" s="13"/>
      <c r="D730" s="13"/>
      <c r="E730" s="13"/>
      <c r="F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</row>
    <row r="731" ht="15.75" customHeight="1">
      <c r="C731" s="13"/>
      <c r="D731" s="13"/>
      <c r="E731" s="13"/>
      <c r="F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</row>
    <row r="732" ht="15.75" customHeight="1">
      <c r="C732" s="13"/>
      <c r="D732" s="13"/>
      <c r="E732" s="13"/>
      <c r="F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</row>
    <row r="733" ht="15.75" customHeight="1">
      <c r="C733" s="13"/>
      <c r="D733" s="13"/>
      <c r="E733" s="13"/>
      <c r="F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</row>
    <row r="734" ht="15.75" customHeight="1">
      <c r="C734" s="13"/>
      <c r="D734" s="13"/>
      <c r="E734" s="13"/>
      <c r="F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</row>
    <row r="735" ht="15.75" customHeight="1">
      <c r="C735" s="13"/>
      <c r="D735" s="13"/>
      <c r="E735" s="13"/>
      <c r="F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</row>
    <row r="736" ht="15.75" customHeight="1">
      <c r="C736" s="13"/>
      <c r="D736" s="13"/>
      <c r="E736" s="13"/>
      <c r="F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</row>
    <row r="737" ht="15.75" customHeight="1">
      <c r="C737" s="13"/>
      <c r="D737" s="13"/>
      <c r="E737" s="13"/>
      <c r="F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</row>
    <row r="738" ht="15.75" customHeight="1">
      <c r="C738" s="13"/>
      <c r="D738" s="13"/>
      <c r="E738" s="13"/>
      <c r="F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</row>
    <row r="739" ht="15.75" customHeight="1">
      <c r="C739" s="13"/>
      <c r="D739" s="13"/>
      <c r="E739" s="13"/>
      <c r="F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</row>
    <row r="740" ht="15.75" customHeight="1">
      <c r="C740" s="13"/>
      <c r="D740" s="13"/>
      <c r="E740" s="13"/>
      <c r="F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</row>
    <row r="741" ht="15.75" customHeight="1">
      <c r="C741" s="13"/>
      <c r="D741" s="13"/>
      <c r="E741" s="13"/>
      <c r="F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</row>
    <row r="742" ht="15.75" customHeight="1">
      <c r="C742" s="13"/>
      <c r="D742" s="13"/>
      <c r="E742" s="13"/>
      <c r="F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</row>
    <row r="743" ht="15.75" customHeight="1">
      <c r="C743" s="13"/>
      <c r="D743" s="13"/>
      <c r="E743" s="13"/>
      <c r="F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</row>
    <row r="744" ht="15.75" customHeight="1">
      <c r="C744" s="13"/>
      <c r="D744" s="13"/>
      <c r="E744" s="13"/>
      <c r="F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</row>
    <row r="745" ht="15.75" customHeight="1">
      <c r="C745" s="13"/>
      <c r="D745" s="13"/>
      <c r="E745" s="13"/>
      <c r="F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</row>
    <row r="746" ht="15.75" customHeight="1">
      <c r="C746" s="13"/>
      <c r="D746" s="13"/>
      <c r="E746" s="13"/>
      <c r="F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</row>
    <row r="747" ht="15.75" customHeight="1">
      <c r="C747" s="13"/>
      <c r="D747" s="13"/>
      <c r="E747" s="13"/>
      <c r="F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</row>
    <row r="748" ht="15.75" customHeight="1">
      <c r="C748" s="13"/>
      <c r="D748" s="13"/>
      <c r="E748" s="13"/>
      <c r="F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</row>
    <row r="749" ht="15.75" customHeight="1">
      <c r="C749" s="13"/>
      <c r="D749" s="13"/>
      <c r="E749" s="13"/>
      <c r="F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</row>
    <row r="750" ht="15.75" customHeight="1">
      <c r="C750" s="13"/>
      <c r="D750" s="13"/>
      <c r="E750" s="13"/>
      <c r="F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</row>
    <row r="751" ht="15.75" customHeight="1">
      <c r="C751" s="13"/>
      <c r="D751" s="13"/>
      <c r="E751" s="13"/>
      <c r="F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</row>
    <row r="752" ht="15.75" customHeight="1">
      <c r="C752" s="13"/>
      <c r="D752" s="13"/>
      <c r="E752" s="13"/>
      <c r="F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</row>
    <row r="753" ht="15.75" customHeight="1">
      <c r="C753" s="13"/>
      <c r="D753" s="13"/>
      <c r="E753" s="13"/>
      <c r="F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</row>
    <row r="754" ht="15.75" customHeight="1">
      <c r="C754" s="13"/>
      <c r="D754" s="13"/>
      <c r="E754" s="13"/>
      <c r="F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</row>
    <row r="755" ht="15.75" customHeight="1">
      <c r="C755" s="13"/>
      <c r="D755" s="13"/>
      <c r="E755" s="13"/>
      <c r="F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</row>
    <row r="756" ht="15.75" customHeight="1">
      <c r="C756" s="13"/>
      <c r="D756" s="13"/>
      <c r="E756" s="13"/>
      <c r="F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</row>
    <row r="757" ht="15.75" customHeight="1">
      <c r="C757" s="13"/>
      <c r="D757" s="13"/>
      <c r="E757" s="13"/>
      <c r="F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</row>
    <row r="758" ht="15.75" customHeight="1">
      <c r="C758" s="13"/>
      <c r="D758" s="13"/>
      <c r="E758" s="13"/>
      <c r="F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</row>
    <row r="759" ht="15.75" customHeight="1">
      <c r="C759" s="13"/>
      <c r="D759" s="13"/>
      <c r="E759" s="13"/>
      <c r="F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</row>
    <row r="760" ht="15.75" customHeight="1">
      <c r="C760" s="13"/>
      <c r="D760" s="13"/>
      <c r="E760" s="13"/>
      <c r="F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</row>
    <row r="761" ht="15.75" customHeight="1">
      <c r="C761" s="13"/>
      <c r="D761" s="13"/>
      <c r="E761" s="13"/>
      <c r="F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</row>
    <row r="762" ht="15.75" customHeight="1">
      <c r="C762" s="13"/>
      <c r="D762" s="13"/>
      <c r="E762" s="13"/>
      <c r="F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</row>
    <row r="763" ht="15.75" customHeight="1">
      <c r="C763" s="13"/>
      <c r="D763" s="13"/>
      <c r="E763" s="13"/>
      <c r="F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</row>
    <row r="764" ht="15.75" customHeight="1">
      <c r="C764" s="13"/>
      <c r="D764" s="13"/>
      <c r="E764" s="13"/>
      <c r="F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</row>
    <row r="765" ht="15.75" customHeight="1">
      <c r="C765" s="13"/>
      <c r="D765" s="13"/>
      <c r="E765" s="13"/>
      <c r="F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</row>
    <row r="766" ht="15.75" customHeight="1">
      <c r="C766" s="13"/>
      <c r="D766" s="13"/>
      <c r="E766" s="13"/>
      <c r="F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</row>
    <row r="767" ht="15.75" customHeight="1">
      <c r="C767" s="13"/>
      <c r="D767" s="13"/>
      <c r="E767" s="13"/>
      <c r="F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</row>
    <row r="768" ht="15.75" customHeight="1">
      <c r="C768" s="13"/>
      <c r="D768" s="13"/>
      <c r="E768" s="13"/>
      <c r="F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</row>
    <row r="769" ht="15.75" customHeight="1">
      <c r="C769" s="13"/>
      <c r="D769" s="13"/>
      <c r="E769" s="13"/>
      <c r="F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</row>
    <row r="770" ht="15.75" customHeight="1">
      <c r="C770" s="13"/>
      <c r="D770" s="13"/>
      <c r="E770" s="13"/>
      <c r="F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</row>
    <row r="771" ht="15.75" customHeight="1">
      <c r="C771" s="13"/>
      <c r="D771" s="13"/>
      <c r="E771" s="13"/>
      <c r="F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</row>
    <row r="772" ht="15.75" customHeight="1">
      <c r="C772" s="13"/>
      <c r="D772" s="13"/>
      <c r="E772" s="13"/>
      <c r="F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</row>
    <row r="773" ht="15.75" customHeight="1">
      <c r="C773" s="13"/>
      <c r="D773" s="13"/>
      <c r="E773" s="13"/>
      <c r="F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</row>
    <row r="774" ht="15.75" customHeight="1">
      <c r="C774" s="13"/>
      <c r="D774" s="13"/>
      <c r="E774" s="13"/>
      <c r="F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</row>
    <row r="775" ht="15.75" customHeight="1">
      <c r="C775" s="13"/>
      <c r="D775" s="13"/>
      <c r="E775" s="13"/>
      <c r="F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</row>
    <row r="776" ht="15.75" customHeight="1">
      <c r="C776" s="13"/>
      <c r="D776" s="13"/>
      <c r="E776" s="13"/>
      <c r="F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</row>
    <row r="777" ht="15.75" customHeight="1">
      <c r="C777" s="13"/>
      <c r="D777" s="13"/>
      <c r="E777" s="13"/>
      <c r="F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</row>
    <row r="778" ht="15.75" customHeight="1">
      <c r="C778" s="13"/>
      <c r="D778" s="13"/>
      <c r="E778" s="13"/>
      <c r="F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</row>
    <row r="779" ht="15.75" customHeight="1">
      <c r="C779" s="13"/>
      <c r="D779" s="13"/>
      <c r="E779" s="13"/>
      <c r="F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</row>
    <row r="780" ht="15.75" customHeight="1">
      <c r="C780" s="13"/>
      <c r="D780" s="13"/>
      <c r="E780" s="13"/>
      <c r="F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</row>
    <row r="781" ht="15.75" customHeight="1">
      <c r="C781" s="13"/>
      <c r="D781" s="13"/>
      <c r="E781" s="13"/>
      <c r="F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</row>
    <row r="782" ht="15.75" customHeight="1">
      <c r="C782" s="13"/>
      <c r="D782" s="13"/>
      <c r="E782" s="13"/>
      <c r="F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</row>
    <row r="783" ht="15.75" customHeight="1">
      <c r="C783" s="13"/>
      <c r="D783" s="13"/>
      <c r="E783" s="13"/>
      <c r="F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</row>
    <row r="784" ht="15.75" customHeight="1">
      <c r="C784" s="13"/>
      <c r="D784" s="13"/>
      <c r="E784" s="13"/>
      <c r="F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</row>
    <row r="785" ht="15.75" customHeight="1">
      <c r="C785" s="13"/>
      <c r="D785" s="13"/>
      <c r="E785" s="13"/>
      <c r="F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</row>
    <row r="786" ht="15.75" customHeight="1">
      <c r="C786" s="13"/>
      <c r="D786" s="13"/>
      <c r="E786" s="13"/>
      <c r="F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</row>
    <row r="787" ht="15.75" customHeight="1">
      <c r="C787" s="13"/>
      <c r="D787" s="13"/>
      <c r="E787" s="13"/>
      <c r="F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</row>
    <row r="788" ht="15.75" customHeight="1">
      <c r="C788" s="13"/>
      <c r="D788" s="13"/>
      <c r="E788" s="13"/>
      <c r="F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</row>
    <row r="789" ht="15.75" customHeight="1">
      <c r="C789" s="13"/>
      <c r="D789" s="13"/>
      <c r="E789" s="13"/>
      <c r="F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</row>
    <row r="790" ht="15.75" customHeight="1">
      <c r="C790" s="13"/>
      <c r="D790" s="13"/>
      <c r="E790" s="13"/>
      <c r="F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</row>
    <row r="791" ht="15.75" customHeight="1">
      <c r="C791" s="13"/>
      <c r="D791" s="13"/>
      <c r="E791" s="13"/>
      <c r="F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</row>
    <row r="792" ht="15.75" customHeight="1">
      <c r="C792" s="13"/>
      <c r="D792" s="13"/>
      <c r="E792" s="13"/>
      <c r="F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</row>
    <row r="793" ht="15.75" customHeight="1">
      <c r="C793" s="13"/>
      <c r="D793" s="13"/>
      <c r="E793" s="13"/>
      <c r="F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</row>
    <row r="794" ht="15.75" customHeight="1">
      <c r="C794" s="13"/>
      <c r="D794" s="13"/>
      <c r="E794" s="13"/>
      <c r="F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</row>
    <row r="795" ht="15.75" customHeight="1">
      <c r="C795" s="13"/>
      <c r="D795" s="13"/>
      <c r="E795" s="13"/>
      <c r="F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</row>
    <row r="796" ht="15.75" customHeight="1">
      <c r="C796" s="13"/>
      <c r="D796" s="13"/>
      <c r="E796" s="13"/>
      <c r="F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</row>
    <row r="797" ht="15.75" customHeight="1">
      <c r="C797" s="13"/>
      <c r="D797" s="13"/>
      <c r="E797" s="13"/>
      <c r="F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</row>
    <row r="798" ht="15.75" customHeight="1">
      <c r="C798" s="13"/>
      <c r="D798" s="13"/>
      <c r="E798" s="13"/>
      <c r="F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</row>
    <row r="799" ht="15.75" customHeight="1">
      <c r="C799" s="13"/>
      <c r="D799" s="13"/>
      <c r="E799" s="13"/>
      <c r="F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</row>
    <row r="800" ht="15.75" customHeight="1">
      <c r="C800" s="13"/>
      <c r="D800" s="13"/>
      <c r="E800" s="13"/>
      <c r="F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</row>
    <row r="801" ht="15.75" customHeight="1">
      <c r="C801" s="13"/>
      <c r="D801" s="13"/>
      <c r="E801" s="13"/>
      <c r="F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</row>
    <row r="802" ht="15.75" customHeight="1">
      <c r="C802" s="13"/>
      <c r="D802" s="13"/>
      <c r="E802" s="13"/>
      <c r="F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</row>
    <row r="803" ht="15.75" customHeight="1">
      <c r="C803" s="13"/>
      <c r="D803" s="13"/>
      <c r="E803" s="13"/>
      <c r="F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</row>
    <row r="804" ht="15.75" customHeight="1">
      <c r="C804" s="13"/>
      <c r="D804" s="13"/>
      <c r="E804" s="13"/>
      <c r="F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</row>
    <row r="805" ht="15.75" customHeight="1">
      <c r="C805" s="13"/>
      <c r="D805" s="13"/>
      <c r="E805" s="13"/>
      <c r="F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</row>
    <row r="806" ht="15.75" customHeight="1">
      <c r="C806" s="13"/>
      <c r="D806" s="13"/>
      <c r="E806" s="13"/>
      <c r="F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</row>
    <row r="807" ht="15.75" customHeight="1">
      <c r="C807" s="13"/>
      <c r="D807" s="13"/>
      <c r="E807" s="13"/>
      <c r="F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</row>
    <row r="808" ht="15.75" customHeight="1">
      <c r="C808" s="13"/>
      <c r="D808" s="13"/>
      <c r="E808" s="13"/>
      <c r="F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</row>
    <row r="809" ht="15.75" customHeight="1">
      <c r="C809" s="13"/>
      <c r="D809" s="13"/>
      <c r="E809" s="13"/>
      <c r="F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</row>
    <row r="810" ht="15.75" customHeight="1">
      <c r="C810" s="13"/>
      <c r="D810" s="13"/>
      <c r="E810" s="13"/>
      <c r="F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</row>
    <row r="811" ht="15.75" customHeight="1">
      <c r="C811" s="13"/>
      <c r="D811" s="13"/>
      <c r="E811" s="13"/>
      <c r="F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</row>
    <row r="812" ht="15.75" customHeight="1">
      <c r="C812" s="13"/>
      <c r="D812" s="13"/>
      <c r="E812" s="13"/>
      <c r="F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</row>
    <row r="813" ht="15.75" customHeight="1">
      <c r="C813" s="13"/>
      <c r="D813" s="13"/>
      <c r="E813" s="13"/>
      <c r="F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</row>
    <row r="814" ht="15.75" customHeight="1">
      <c r="C814" s="13"/>
      <c r="D814" s="13"/>
      <c r="E814" s="13"/>
      <c r="F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</row>
    <row r="815" ht="15.75" customHeight="1">
      <c r="C815" s="13"/>
      <c r="D815" s="13"/>
      <c r="E815" s="13"/>
      <c r="F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</row>
    <row r="816" ht="15.75" customHeight="1">
      <c r="C816" s="13"/>
      <c r="D816" s="13"/>
      <c r="E816" s="13"/>
      <c r="F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</row>
    <row r="817" ht="15.75" customHeight="1">
      <c r="C817" s="13"/>
      <c r="D817" s="13"/>
      <c r="E817" s="13"/>
      <c r="F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</row>
    <row r="818" ht="15.75" customHeight="1">
      <c r="C818" s="13"/>
      <c r="D818" s="13"/>
      <c r="E818" s="13"/>
      <c r="F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</row>
    <row r="819" ht="15.75" customHeight="1">
      <c r="C819" s="13"/>
      <c r="D819" s="13"/>
      <c r="E819" s="13"/>
      <c r="F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</row>
    <row r="820" ht="15.75" customHeight="1">
      <c r="C820" s="13"/>
      <c r="D820" s="13"/>
      <c r="E820" s="13"/>
      <c r="F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</row>
    <row r="821" ht="15.75" customHeight="1">
      <c r="C821" s="13"/>
      <c r="D821" s="13"/>
      <c r="E821" s="13"/>
      <c r="F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</row>
    <row r="822" ht="15.75" customHeight="1">
      <c r="C822" s="13"/>
      <c r="D822" s="13"/>
      <c r="E822" s="13"/>
      <c r="F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</row>
    <row r="823" ht="15.75" customHeight="1">
      <c r="C823" s="13"/>
      <c r="D823" s="13"/>
      <c r="E823" s="13"/>
      <c r="F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</row>
    <row r="824" ht="15.75" customHeight="1">
      <c r="C824" s="13"/>
      <c r="D824" s="13"/>
      <c r="E824" s="13"/>
      <c r="F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</row>
    <row r="825" ht="15.75" customHeight="1">
      <c r="C825" s="13"/>
      <c r="D825" s="13"/>
      <c r="E825" s="13"/>
      <c r="F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</row>
    <row r="826" ht="15.75" customHeight="1">
      <c r="C826" s="13"/>
      <c r="D826" s="13"/>
      <c r="E826" s="13"/>
      <c r="F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</row>
    <row r="827" ht="15.75" customHeight="1">
      <c r="C827" s="13"/>
      <c r="D827" s="13"/>
      <c r="E827" s="13"/>
      <c r="F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</row>
    <row r="828" ht="15.75" customHeight="1">
      <c r="C828" s="13"/>
      <c r="D828" s="13"/>
      <c r="E828" s="13"/>
      <c r="F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</row>
    <row r="829" ht="15.75" customHeight="1">
      <c r="C829" s="13"/>
      <c r="D829" s="13"/>
      <c r="E829" s="13"/>
      <c r="F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</row>
    <row r="830" ht="15.75" customHeight="1">
      <c r="C830" s="13"/>
      <c r="D830" s="13"/>
      <c r="E830" s="13"/>
      <c r="F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</row>
    <row r="831" ht="15.75" customHeight="1">
      <c r="C831" s="13"/>
      <c r="D831" s="13"/>
      <c r="E831" s="13"/>
      <c r="F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</row>
    <row r="832" ht="15.75" customHeight="1">
      <c r="C832" s="13"/>
      <c r="D832" s="13"/>
      <c r="E832" s="13"/>
      <c r="F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</row>
    <row r="833" ht="15.75" customHeight="1">
      <c r="C833" s="13"/>
      <c r="D833" s="13"/>
      <c r="E833" s="13"/>
      <c r="F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</row>
    <row r="834" ht="15.75" customHeight="1">
      <c r="C834" s="13"/>
      <c r="D834" s="13"/>
      <c r="E834" s="13"/>
      <c r="F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</row>
    <row r="835" ht="15.75" customHeight="1">
      <c r="C835" s="13"/>
      <c r="D835" s="13"/>
      <c r="E835" s="13"/>
      <c r="F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</row>
    <row r="836" ht="15.75" customHeight="1">
      <c r="C836" s="13"/>
      <c r="D836" s="13"/>
      <c r="E836" s="13"/>
      <c r="F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</row>
    <row r="837" ht="15.75" customHeight="1">
      <c r="C837" s="13"/>
      <c r="D837" s="13"/>
      <c r="E837" s="13"/>
      <c r="F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</row>
    <row r="838" ht="15.75" customHeight="1">
      <c r="C838" s="13"/>
      <c r="D838" s="13"/>
      <c r="E838" s="13"/>
      <c r="F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</row>
    <row r="839" ht="15.75" customHeight="1">
      <c r="C839" s="13"/>
      <c r="D839" s="13"/>
      <c r="E839" s="13"/>
      <c r="F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</row>
    <row r="840" ht="15.75" customHeight="1">
      <c r="C840" s="13"/>
      <c r="D840" s="13"/>
      <c r="E840" s="13"/>
      <c r="F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</row>
    <row r="841" ht="15.75" customHeight="1">
      <c r="C841" s="13"/>
      <c r="D841" s="13"/>
      <c r="E841" s="13"/>
      <c r="F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</row>
    <row r="842" ht="15.75" customHeight="1">
      <c r="C842" s="13"/>
      <c r="D842" s="13"/>
      <c r="E842" s="13"/>
      <c r="F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</row>
    <row r="843" ht="15.75" customHeight="1">
      <c r="C843" s="13"/>
      <c r="D843" s="13"/>
      <c r="E843" s="13"/>
      <c r="F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</row>
    <row r="844" ht="15.75" customHeight="1">
      <c r="C844" s="13"/>
      <c r="D844" s="13"/>
      <c r="E844" s="13"/>
      <c r="F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</row>
    <row r="845" ht="15.75" customHeight="1">
      <c r="C845" s="13"/>
      <c r="D845" s="13"/>
      <c r="E845" s="13"/>
      <c r="F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</row>
    <row r="846" ht="15.75" customHeight="1">
      <c r="C846" s="13"/>
      <c r="D846" s="13"/>
      <c r="E846" s="13"/>
      <c r="F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</row>
    <row r="847" ht="15.75" customHeight="1">
      <c r="C847" s="13"/>
      <c r="D847" s="13"/>
      <c r="E847" s="13"/>
      <c r="F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</row>
    <row r="848" ht="15.75" customHeight="1">
      <c r="C848" s="13"/>
      <c r="D848" s="13"/>
      <c r="E848" s="13"/>
      <c r="F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</row>
    <row r="849" ht="15.75" customHeight="1">
      <c r="C849" s="13"/>
      <c r="D849" s="13"/>
      <c r="E849" s="13"/>
      <c r="F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</row>
    <row r="850" ht="15.75" customHeight="1">
      <c r="C850" s="13"/>
      <c r="D850" s="13"/>
      <c r="E850" s="13"/>
      <c r="F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</row>
    <row r="851" ht="15.75" customHeight="1">
      <c r="C851" s="13"/>
      <c r="D851" s="13"/>
      <c r="E851" s="13"/>
      <c r="F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</row>
    <row r="852" ht="15.75" customHeight="1">
      <c r="C852" s="13"/>
      <c r="D852" s="13"/>
      <c r="E852" s="13"/>
      <c r="F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</row>
    <row r="853" ht="15.75" customHeight="1">
      <c r="C853" s="13"/>
      <c r="D853" s="13"/>
      <c r="E853" s="13"/>
      <c r="F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</row>
    <row r="854" ht="15.75" customHeight="1">
      <c r="C854" s="13"/>
      <c r="D854" s="13"/>
      <c r="E854" s="13"/>
      <c r="F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</row>
    <row r="855" ht="15.75" customHeight="1">
      <c r="C855" s="13"/>
      <c r="D855" s="13"/>
      <c r="E855" s="13"/>
      <c r="F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</row>
    <row r="856" ht="15.75" customHeight="1">
      <c r="C856" s="13"/>
      <c r="D856" s="13"/>
      <c r="E856" s="13"/>
      <c r="F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</row>
    <row r="857" ht="15.75" customHeight="1">
      <c r="C857" s="13"/>
      <c r="D857" s="13"/>
      <c r="E857" s="13"/>
      <c r="F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</row>
    <row r="858" ht="15.75" customHeight="1">
      <c r="C858" s="13"/>
      <c r="D858" s="13"/>
      <c r="E858" s="13"/>
      <c r="F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</row>
    <row r="859" ht="15.75" customHeight="1">
      <c r="C859" s="13"/>
      <c r="D859" s="13"/>
      <c r="E859" s="13"/>
      <c r="F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</row>
    <row r="860" ht="15.75" customHeight="1">
      <c r="C860" s="13"/>
      <c r="D860" s="13"/>
      <c r="E860" s="13"/>
      <c r="F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</row>
    <row r="861" ht="15.75" customHeight="1">
      <c r="C861" s="13"/>
      <c r="D861" s="13"/>
      <c r="E861" s="13"/>
      <c r="F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</row>
    <row r="862" ht="15.75" customHeight="1">
      <c r="C862" s="13"/>
      <c r="D862" s="13"/>
      <c r="E862" s="13"/>
      <c r="F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</row>
    <row r="863" ht="15.75" customHeight="1">
      <c r="C863" s="13"/>
      <c r="D863" s="13"/>
      <c r="E863" s="13"/>
      <c r="F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</row>
    <row r="864" ht="15.75" customHeight="1">
      <c r="C864" s="13"/>
      <c r="D864" s="13"/>
      <c r="E864" s="13"/>
      <c r="F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</row>
    <row r="865" ht="15.75" customHeight="1">
      <c r="C865" s="13"/>
      <c r="D865" s="13"/>
      <c r="E865" s="13"/>
      <c r="F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</row>
    <row r="866" ht="15.75" customHeight="1">
      <c r="C866" s="13"/>
      <c r="D866" s="13"/>
      <c r="E866" s="13"/>
      <c r="F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</row>
    <row r="867" ht="15.75" customHeight="1">
      <c r="C867" s="13"/>
      <c r="D867" s="13"/>
      <c r="E867" s="13"/>
      <c r="F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</row>
    <row r="868" ht="15.75" customHeight="1">
      <c r="C868" s="13"/>
      <c r="D868" s="13"/>
      <c r="E868" s="13"/>
      <c r="F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</row>
    <row r="869" ht="15.75" customHeight="1">
      <c r="C869" s="13"/>
      <c r="D869" s="13"/>
      <c r="E869" s="13"/>
      <c r="F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</row>
    <row r="870" ht="15.75" customHeight="1">
      <c r="C870" s="13"/>
      <c r="D870" s="13"/>
      <c r="E870" s="13"/>
      <c r="F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</row>
    <row r="871" ht="15.75" customHeight="1">
      <c r="C871" s="13"/>
      <c r="D871" s="13"/>
      <c r="E871" s="13"/>
      <c r="F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</row>
    <row r="872" ht="15.75" customHeight="1">
      <c r="C872" s="13"/>
      <c r="D872" s="13"/>
      <c r="E872" s="13"/>
      <c r="F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</row>
    <row r="873" ht="15.75" customHeight="1">
      <c r="C873" s="13"/>
      <c r="D873" s="13"/>
      <c r="E873" s="13"/>
      <c r="F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</row>
    <row r="874" ht="15.75" customHeight="1">
      <c r="C874" s="13"/>
      <c r="D874" s="13"/>
      <c r="E874" s="13"/>
      <c r="F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</row>
    <row r="875" ht="15.75" customHeight="1">
      <c r="C875" s="13"/>
      <c r="D875" s="13"/>
      <c r="E875" s="13"/>
      <c r="F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</row>
    <row r="876" ht="15.75" customHeight="1">
      <c r="C876" s="13"/>
      <c r="D876" s="13"/>
      <c r="E876" s="13"/>
      <c r="F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</row>
    <row r="877" ht="15.75" customHeight="1">
      <c r="C877" s="13"/>
      <c r="D877" s="13"/>
      <c r="E877" s="13"/>
      <c r="F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</row>
    <row r="878" ht="15.75" customHeight="1">
      <c r="C878" s="13"/>
      <c r="D878" s="13"/>
      <c r="E878" s="13"/>
      <c r="F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</row>
    <row r="879" ht="15.75" customHeight="1">
      <c r="C879" s="13"/>
      <c r="D879" s="13"/>
      <c r="E879" s="13"/>
      <c r="F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</row>
    <row r="880" ht="15.75" customHeight="1">
      <c r="C880" s="13"/>
      <c r="D880" s="13"/>
      <c r="E880" s="13"/>
      <c r="F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</row>
    <row r="881" ht="15.75" customHeight="1">
      <c r="C881" s="13"/>
      <c r="D881" s="13"/>
      <c r="E881" s="13"/>
      <c r="F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</row>
    <row r="882" ht="15.75" customHeight="1">
      <c r="C882" s="13"/>
      <c r="D882" s="13"/>
      <c r="E882" s="13"/>
      <c r="F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</row>
    <row r="883" ht="15.75" customHeight="1">
      <c r="C883" s="13"/>
      <c r="D883" s="13"/>
      <c r="E883" s="13"/>
      <c r="F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</row>
    <row r="884" ht="15.75" customHeight="1">
      <c r="C884" s="13"/>
      <c r="D884" s="13"/>
      <c r="E884" s="13"/>
      <c r="F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</row>
    <row r="885" ht="15.75" customHeight="1">
      <c r="C885" s="13"/>
      <c r="D885" s="13"/>
      <c r="E885" s="13"/>
      <c r="F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</row>
    <row r="886" ht="15.75" customHeight="1">
      <c r="C886" s="13"/>
      <c r="D886" s="13"/>
      <c r="E886" s="13"/>
      <c r="F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</row>
    <row r="887" ht="15.75" customHeight="1">
      <c r="C887" s="13"/>
      <c r="D887" s="13"/>
      <c r="E887" s="13"/>
      <c r="F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</row>
    <row r="888" ht="15.75" customHeight="1">
      <c r="C888" s="13"/>
      <c r="D888" s="13"/>
      <c r="E888" s="13"/>
      <c r="F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</row>
    <row r="889" ht="15.75" customHeight="1">
      <c r="C889" s="13"/>
      <c r="D889" s="13"/>
      <c r="E889" s="13"/>
      <c r="F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</row>
    <row r="890" ht="15.75" customHeight="1">
      <c r="C890" s="13"/>
      <c r="D890" s="13"/>
      <c r="E890" s="13"/>
      <c r="F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</row>
    <row r="891" ht="15.75" customHeight="1">
      <c r="C891" s="13"/>
      <c r="D891" s="13"/>
      <c r="E891" s="13"/>
      <c r="F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</row>
    <row r="892" ht="15.75" customHeight="1">
      <c r="C892" s="13"/>
      <c r="D892" s="13"/>
      <c r="E892" s="13"/>
      <c r="F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</row>
    <row r="893" ht="15.75" customHeight="1">
      <c r="C893" s="13"/>
      <c r="D893" s="13"/>
      <c r="E893" s="13"/>
      <c r="F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</row>
    <row r="894" ht="15.75" customHeight="1">
      <c r="C894" s="13"/>
      <c r="D894" s="13"/>
      <c r="E894" s="13"/>
      <c r="F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</row>
    <row r="895" ht="15.75" customHeight="1">
      <c r="C895" s="13"/>
      <c r="D895" s="13"/>
      <c r="E895" s="13"/>
      <c r="F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</row>
    <row r="896" ht="15.75" customHeight="1">
      <c r="C896" s="13"/>
      <c r="D896" s="13"/>
      <c r="E896" s="13"/>
      <c r="F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</row>
    <row r="897" ht="15.75" customHeight="1">
      <c r="C897" s="13"/>
      <c r="D897" s="13"/>
      <c r="E897" s="13"/>
      <c r="F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</row>
    <row r="898" ht="15.75" customHeight="1">
      <c r="C898" s="13"/>
      <c r="D898" s="13"/>
      <c r="E898" s="13"/>
      <c r="F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</row>
    <row r="899" ht="15.75" customHeight="1">
      <c r="C899" s="13"/>
      <c r="D899" s="13"/>
      <c r="E899" s="13"/>
      <c r="F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</row>
    <row r="900" ht="15.75" customHeight="1">
      <c r="C900" s="13"/>
      <c r="D900" s="13"/>
      <c r="E900" s="13"/>
      <c r="F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</row>
    <row r="901" ht="15.75" customHeight="1">
      <c r="C901" s="13"/>
      <c r="D901" s="13"/>
      <c r="E901" s="13"/>
      <c r="F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</row>
    <row r="902" ht="15.75" customHeight="1">
      <c r="C902" s="13"/>
      <c r="D902" s="13"/>
      <c r="E902" s="13"/>
      <c r="F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</row>
    <row r="903" ht="15.75" customHeight="1">
      <c r="C903" s="13"/>
      <c r="D903" s="13"/>
      <c r="E903" s="13"/>
      <c r="F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</row>
    <row r="904" ht="15.75" customHeight="1">
      <c r="C904" s="13"/>
      <c r="D904" s="13"/>
      <c r="E904" s="13"/>
      <c r="F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</row>
    <row r="905" ht="15.75" customHeight="1">
      <c r="C905" s="13"/>
      <c r="D905" s="13"/>
      <c r="E905" s="13"/>
      <c r="F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</row>
    <row r="906" ht="15.75" customHeight="1">
      <c r="C906" s="13"/>
      <c r="D906" s="13"/>
      <c r="E906" s="13"/>
      <c r="F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</row>
    <row r="907" ht="15.75" customHeight="1">
      <c r="C907" s="13"/>
      <c r="D907" s="13"/>
      <c r="E907" s="13"/>
      <c r="F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</row>
    <row r="908" ht="15.75" customHeight="1">
      <c r="C908" s="13"/>
      <c r="D908" s="13"/>
      <c r="E908" s="13"/>
      <c r="F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</row>
    <row r="909" ht="15.75" customHeight="1">
      <c r="C909" s="13"/>
      <c r="D909" s="13"/>
      <c r="E909" s="13"/>
      <c r="F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</row>
    <row r="910" ht="15.75" customHeight="1">
      <c r="C910" s="13"/>
      <c r="D910" s="13"/>
      <c r="E910" s="13"/>
      <c r="F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</row>
    <row r="911" ht="15.75" customHeight="1">
      <c r="C911" s="13"/>
      <c r="D911" s="13"/>
      <c r="E911" s="13"/>
      <c r="F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</row>
    <row r="912" ht="15.75" customHeight="1">
      <c r="C912" s="13"/>
      <c r="D912" s="13"/>
      <c r="E912" s="13"/>
      <c r="F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</row>
    <row r="913" ht="15.75" customHeight="1">
      <c r="C913" s="13"/>
      <c r="D913" s="13"/>
      <c r="E913" s="13"/>
      <c r="F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</row>
    <row r="914" ht="15.75" customHeight="1">
      <c r="C914" s="13"/>
      <c r="D914" s="13"/>
      <c r="E914" s="13"/>
      <c r="F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</row>
    <row r="915" ht="15.75" customHeight="1">
      <c r="C915" s="13"/>
      <c r="D915" s="13"/>
      <c r="E915" s="13"/>
      <c r="F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</row>
    <row r="916" ht="15.75" customHeight="1">
      <c r="C916" s="13"/>
      <c r="D916" s="13"/>
      <c r="E916" s="13"/>
      <c r="F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</row>
    <row r="917" ht="15.75" customHeight="1">
      <c r="C917" s="13"/>
      <c r="D917" s="13"/>
      <c r="E917" s="13"/>
      <c r="F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</row>
    <row r="918" ht="15.75" customHeight="1">
      <c r="C918" s="13"/>
      <c r="D918" s="13"/>
      <c r="E918" s="13"/>
      <c r="F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</row>
    <row r="919" ht="15.75" customHeight="1">
      <c r="C919" s="13"/>
      <c r="D919" s="13"/>
      <c r="E919" s="13"/>
      <c r="F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</row>
    <row r="920" ht="15.75" customHeight="1">
      <c r="C920" s="13"/>
      <c r="D920" s="13"/>
      <c r="E920" s="13"/>
      <c r="F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</row>
    <row r="921" ht="15.75" customHeight="1">
      <c r="C921" s="13"/>
      <c r="D921" s="13"/>
      <c r="E921" s="13"/>
      <c r="F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</row>
    <row r="922" ht="15.75" customHeight="1">
      <c r="C922" s="13"/>
      <c r="D922" s="13"/>
      <c r="E922" s="13"/>
      <c r="F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</row>
    <row r="923" ht="15.75" customHeight="1">
      <c r="C923" s="13"/>
      <c r="D923" s="13"/>
      <c r="E923" s="13"/>
      <c r="F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</row>
    <row r="924" ht="15.75" customHeight="1">
      <c r="C924" s="13"/>
      <c r="D924" s="13"/>
      <c r="E924" s="13"/>
      <c r="F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</row>
    <row r="925" ht="15.75" customHeight="1">
      <c r="C925" s="13"/>
      <c r="D925" s="13"/>
      <c r="E925" s="13"/>
      <c r="F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</row>
    <row r="926" ht="15.75" customHeight="1">
      <c r="C926" s="13"/>
      <c r="D926" s="13"/>
      <c r="E926" s="13"/>
      <c r="F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</row>
    <row r="927" ht="15.75" customHeight="1">
      <c r="C927" s="13"/>
      <c r="D927" s="13"/>
      <c r="E927" s="13"/>
      <c r="F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</row>
    <row r="928" ht="15.75" customHeight="1">
      <c r="C928" s="13"/>
      <c r="D928" s="13"/>
      <c r="E928" s="13"/>
      <c r="F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</row>
    <row r="929" ht="15.75" customHeight="1">
      <c r="C929" s="13"/>
      <c r="D929" s="13"/>
      <c r="E929" s="13"/>
      <c r="F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</row>
    <row r="930" ht="15.75" customHeight="1">
      <c r="C930" s="13"/>
      <c r="D930" s="13"/>
      <c r="E930" s="13"/>
      <c r="F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</row>
    <row r="931" ht="15.75" customHeight="1">
      <c r="C931" s="13"/>
      <c r="D931" s="13"/>
      <c r="E931" s="13"/>
      <c r="F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</row>
    <row r="932" ht="15.75" customHeight="1">
      <c r="C932" s="13"/>
      <c r="D932" s="13"/>
      <c r="E932" s="13"/>
      <c r="F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</row>
    <row r="933" ht="15.75" customHeight="1">
      <c r="C933" s="13"/>
      <c r="D933" s="13"/>
      <c r="E933" s="13"/>
      <c r="F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</row>
    <row r="934" ht="15.75" customHeight="1">
      <c r="C934" s="13"/>
      <c r="D934" s="13"/>
      <c r="E934" s="13"/>
      <c r="F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</row>
    <row r="935" ht="15.75" customHeight="1">
      <c r="C935" s="13"/>
      <c r="D935" s="13"/>
      <c r="E935" s="13"/>
      <c r="F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</row>
    <row r="936" ht="15.75" customHeight="1">
      <c r="C936" s="13"/>
      <c r="D936" s="13"/>
      <c r="E936" s="13"/>
      <c r="F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</row>
    <row r="937" ht="15.75" customHeight="1">
      <c r="C937" s="13"/>
      <c r="D937" s="13"/>
      <c r="E937" s="13"/>
      <c r="F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</row>
    <row r="938" ht="15.75" customHeight="1">
      <c r="C938" s="13"/>
      <c r="D938" s="13"/>
      <c r="E938" s="13"/>
      <c r="F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</row>
    <row r="939" ht="15.75" customHeight="1">
      <c r="C939" s="13"/>
      <c r="D939" s="13"/>
      <c r="E939" s="13"/>
      <c r="F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</row>
    <row r="940" ht="15.75" customHeight="1">
      <c r="C940" s="13"/>
      <c r="D940" s="13"/>
      <c r="E940" s="13"/>
      <c r="F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</row>
    <row r="941" ht="15.75" customHeight="1">
      <c r="C941" s="13"/>
      <c r="D941" s="13"/>
      <c r="E941" s="13"/>
      <c r="F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</row>
    <row r="942" ht="15.75" customHeight="1">
      <c r="C942" s="13"/>
      <c r="D942" s="13"/>
      <c r="E942" s="13"/>
      <c r="F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</row>
    <row r="943" ht="15.75" customHeight="1">
      <c r="C943" s="13"/>
      <c r="D943" s="13"/>
      <c r="E943" s="13"/>
      <c r="F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</row>
    <row r="944" ht="15.75" customHeight="1">
      <c r="C944" s="13"/>
      <c r="D944" s="13"/>
      <c r="E944" s="13"/>
      <c r="F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</row>
    <row r="945" ht="15.75" customHeight="1">
      <c r="C945" s="13"/>
      <c r="D945" s="13"/>
      <c r="E945" s="13"/>
      <c r="F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</row>
    <row r="946" ht="15.75" customHeight="1">
      <c r="C946" s="13"/>
      <c r="D946" s="13"/>
      <c r="E946" s="13"/>
      <c r="F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</row>
    <row r="947" ht="15.75" customHeight="1">
      <c r="C947" s="13"/>
      <c r="D947" s="13"/>
      <c r="E947" s="13"/>
      <c r="F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</row>
    <row r="948" ht="15.75" customHeight="1">
      <c r="C948" s="13"/>
      <c r="D948" s="13"/>
      <c r="E948" s="13"/>
      <c r="F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</row>
    <row r="949" ht="15.75" customHeight="1">
      <c r="C949" s="13"/>
      <c r="D949" s="13"/>
      <c r="E949" s="13"/>
      <c r="F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</row>
    <row r="950" ht="15.75" customHeight="1">
      <c r="C950" s="13"/>
      <c r="D950" s="13"/>
      <c r="E950" s="13"/>
      <c r="F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</row>
    <row r="951" ht="15.75" customHeight="1">
      <c r="C951" s="13"/>
      <c r="D951" s="13"/>
      <c r="E951" s="13"/>
      <c r="F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</row>
    <row r="952" ht="15.75" customHeight="1">
      <c r="C952" s="13"/>
      <c r="D952" s="13"/>
      <c r="E952" s="13"/>
      <c r="F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</row>
    <row r="953" ht="15.75" customHeight="1">
      <c r="C953" s="13"/>
      <c r="D953" s="13"/>
      <c r="E953" s="13"/>
      <c r="F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</row>
    <row r="954" ht="15.75" customHeight="1">
      <c r="C954" s="13"/>
      <c r="D954" s="13"/>
      <c r="E954" s="13"/>
      <c r="F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</row>
    <row r="955" ht="15.75" customHeight="1">
      <c r="C955" s="13"/>
      <c r="D955" s="13"/>
      <c r="E955" s="13"/>
      <c r="F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</row>
    <row r="956" ht="15.75" customHeight="1">
      <c r="C956" s="13"/>
      <c r="D956" s="13"/>
      <c r="E956" s="13"/>
      <c r="F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</row>
    <row r="957" ht="15.75" customHeight="1">
      <c r="C957" s="13"/>
      <c r="D957" s="13"/>
      <c r="E957" s="13"/>
      <c r="F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</row>
    <row r="958" ht="15.75" customHeight="1">
      <c r="C958" s="13"/>
      <c r="D958" s="13"/>
      <c r="E958" s="13"/>
      <c r="F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</row>
    <row r="959" ht="15.75" customHeight="1">
      <c r="C959" s="13"/>
      <c r="D959" s="13"/>
      <c r="E959" s="13"/>
      <c r="F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</row>
    <row r="960" ht="15.75" customHeight="1">
      <c r="C960" s="13"/>
      <c r="D960" s="13"/>
      <c r="E960" s="13"/>
      <c r="F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</row>
    <row r="961" ht="15.75" customHeight="1">
      <c r="C961" s="13"/>
      <c r="D961" s="13"/>
      <c r="E961" s="13"/>
      <c r="F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</row>
    <row r="962" ht="15.75" customHeight="1">
      <c r="C962" s="13"/>
      <c r="D962" s="13"/>
      <c r="E962" s="13"/>
      <c r="F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</row>
    <row r="963" ht="15.75" customHeight="1">
      <c r="C963" s="13"/>
      <c r="D963" s="13"/>
      <c r="E963" s="13"/>
      <c r="F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</row>
    <row r="964" ht="15.75" customHeight="1">
      <c r="C964" s="13"/>
      <c r="D964" s="13"/>
      <c r="E964" s="13"/>
      <c r="F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</row>
    <row r="965" ht="15.75" customHeight="1">
      <c r="C965" s="13"/>
      <c r="D965" s="13"/>
      <c r="E965" s="13"/>
      <c r="F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</row>
    <row r="966" ht="15.75" customHeight="1">
      <c r="C966" s="13"/>
      <c r="D966" s="13"/>
      <c r="E966" s="13"/>
      <c r="F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</row>
    <row r="967" ht="15.75" customHeight="1">
      <c r="C967" s="13"/>
      <c r="D967" s="13"/>
      <c r="E967" s="13"/>
      <c r="F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</row>
    <row r="968" ht="15.75" customHeight="1">
      <c r="C968" s="13"/>
      <c r="D968" s="13"/>
      <c r="E968" s="13"/>
      <c r="F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</row>
    <row r="969" ht="15.75" customHeight="1">
      <c r="C969" s="13"/>
      <c r="D969" s="13"/>
      <c r="E969" s="13"/>
      <c r="F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</row>
    <row r="970" ht="15.75" customHeight="1">
      <c r="C970" s="13"/>
      <c r="D970" s="13"/>
      <c r="E970" s="13"/>
      <c r="F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</row>
    <row r="971" ht="15.75" customHeight="1">
      <c r="C971" s="13"/>
      <c r="D971" s="13"/>
      <c r="E971" s="13"/>
      <c r="F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</row>
    <row r="972" ht="15.75" customHeight="1">
      <c r="C972" s="13"/>
      <c r="D972" s="13"/>
      <c r="E972" s="13"/>
      <c r="F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</row>
    <row r="973" ht="15.75" customHeight="1">
      <c r="C973" s="13"/>
      <c r="D973" s="13"/>
      <c r="E973" s="13"/>
      <c r="F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</row>
    <row r="974" ht="15.75" customHeight="1">
      <c r="C974" s="13"/>
      <c r="D974" s="13"/>
      <c r="E974" s="13"/>
      <c r="F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</row>
    <row r="975" ht="15.75" customHeight="1">
      <c r="C975" s="13"/>
      <c r="D975" s="13"/>
      <c r="E975" s="13"/>
      <c r="F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</row>
    <row r="976" ht="15.75" customHeight="1">
      <c r="C976" s="13"/>
      <c r="D976" s="13"/>
      <c r="E976" s="13"/>
      <c r="F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</row>
    <row r="977" ht="15.75" customHeight="1">
      <c r="C977" s="13"/>
      <c r="D977" s="13"/>
      <c r="E977" s="13"/>
      <c r="F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</row>
    <row r="978" ht="15.75" customHeight="1">
      <c r="C978" s="13"/>
      <c r="D978" s="13"/>
      <c r="E978" s="13"/>
      <c r="F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</row>
    <row r="979" ht="15.75" customHeight="1">
      <c r="C979" s="13"/>
      <c r="D979" s="13"/>
      <c r="E979" s="13"/>
      <c r="F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</row>
    <row r="980" ht="15.75" customHeight="1">
      <c r="C980" s="13"/>
      <c r="D980" s="13"/>
      <c r="E980" s="13"/>
      <c r="F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</row>
    <row r="981" ht="15.75" customHeight="1">
      <c r="C981" s="13"/>
      <c r="D981" s="13"/>
      <c r="E981" s="13"/>
      <c r="F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</row>
    <row r="982" ht="15.75" customHeight="1">
      <c r="C982" s="13"/>
      <c r="D982" s="13"/>
      <c r="E982" s="13"/>
      <c r="F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</row>
    <row r="983" ht="15.75" customHeight="1">
      <c r="C983" s="13"/>
      <c r="D983" s="13"/>
      <c r="E983" s="13"/>
      <c r="F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</row>
    <row r="984" ht="15.75" customHeight="1">
      <c r="C984" s="13"/>
      <c r="D984" s="13"/>
      <c r="E984" s="13"/>
      <c r="F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</row>
    <row r="985" ht="15.75" customHeight="1">
      <c r="C985" s="13"/>
      <c r="D985" s="13"/>
      <c r="E985" s="13"/>
      <c r="F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</row>
    <row r="986" ht="15.75" customHeight="1">
      <c r="C986" s="13"/>
      <c r="D986" s="13"/>
      <c r="E986" s="13"/>
      <c r="F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</row>
    <row r="987" ht="15.75" customHeight="1">
      <c r="C987" s="13"/>
      <c r="D987" s="13"/>
      <c r="E987" s="13"/>
      <c r="F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</row>
    <row r="988" ht="15.75" customHeight="1">
      <c r="C988" s="13"/>
      <c r="D988" s="13"/>
      <c r="E988" s="13"/>
      <c r="F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</row>
    <row r="989" ht="15.75" customHeight="1">
      <c r="C989" s="13"/>
      <c r="D989" s="13"/>
      <c r="E989" s="13"/>
      <c r="F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</row>
    <row r="990" ht="15.75" customHeight="1">
      <c r="C990" s="13"/>
      <c r="D990" s="13"/>
      <c r="E990" s="13"/>
      <c r="F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</row>
    <row r="991" ht="15.75" customHeight="1">
      <c r="C991" s="13"/>
      <c r="D991" s="13"/>
      <c r="E991" s="13"/>
      <c r="F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</row>
    <row r="992" ht="15.75" customHeight="1">
      <c r="C992" s="13"/>
      <c r="D992" s="13"/>
      <c r="E992" s="13"/>
      <c r="F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</row>
    <row r="993" ht="15.75" customHeight="1">
      <c r="C993" s="13"/>
      <c r="D993" s="13"/>
      <c r="E993" s="13"/>
      <c r="F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</row>
    <row r="994" ht="15.75" customHeight="1">
      <c r="C994" s="13"/>
      <c r="D994" s="13"/>
      <c r="E994" s="13"/>
      <c r="F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</row>
    <row r="995" ht="15.75" customHeight="1">
      <c r="C995" s="13"/>
      <c r="D995" s="13"/>
      <c r="E995" s="13"/>
      <c r="F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</row>
    <row r="996" ht="15.75" customHeight="1">
      <c r="C996" s="13"/>
      <c r="D996" s="13"/>
      <c r="E996" s="13"/>
      <c r="F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</row>
    <row r="997" ht="15.75" customHeight="1">
      <c r="C997" s="13"/>
      <c r="D997" s="13"/>
      <c r="E997" s="13"/>
      <c r="F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</row>
    <row r="998" ht="15.75" customHeight="1">
      <c r="C998" s="13"/>
      <c r="D998" s="13"/>
      <c r="E998" s="13"/>
      <c r="F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</row>
    <row r="999" ht="15.75" customHeight="1">
      <c r="C999" s="13"/>
      <c r="D999" s="13"/>
      <c r="E999" s="13"/>
      <c r="F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</row>
    <row r="1000" ht="15.75" customHeight="1">
      <c r="C1000" s="13"/>
      <c r="D1000" s="13"/>
      <c r="E1000" s="13"/>
      <c r="F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7" width="19.13"/>
    <col customWidth="1" min="8" max="8" width="18.38"/>
    <col customWidth="1" min="9" max="15" width="17.75"/>
    <col customWidth="1" min="16" max="16" width="21.75"/>
    <col customWidth="1" min="17" max="26" width="8.63"/>
  </cols>
  <sheetData>
    <row r="1">
      <c r="A1" s="31" t="s">
        <v>162</v>
      </c>
      <c r="B1" s="32" t="s">
        <v>163</v>
      </c>
      <c r="C1" s="32" t="s">
        <v>164</v>
      </c>
      <c r="D1" s="32" t="s">
        <v>165</v>
      </c>
      <c r="E1" s="32" t="s">
        <v>166</v>
      </c>
      <c r="F1" s="32" t="s">
        <v>167</v>
      </c>
      <c r="G1" s="32" t="s">
        <v>168</v>
      </c>
      <c r="H1" s="32" t="s">
        <v>169</v>
      </c>
      <c r="I1" s="33" t="s">
        <v>162</v>
      </c>
      <c r="J1" s="34" t="s">
        <v>170</v>
      </c>
      <c r="K1" s="34" t="s">
        <v>171</v>
      </c>
      <c r="L1" s="34" t="s">
        <v>172</v>
      </c>
      <c r="M1" s="34" t="s">
        <v>173</v>
      </c>
      <c r="N1" s="34" t="s">
        <v>174</v>
      </c>
      <c r="O1" s="34" t="s">
        <v>175</v>
      </c>
      <c r="P1" s="35" t="s">
        <v>176</v>
      </c>
    </row>
    <row r="2">
      <c r="A2" s="32" t="s">
        <v>177</v>
      </c>
      <c r="B2" s="36">
        <v>10.3148024112525</v>
      </c>
      <c r="C2" s="36">
        <v>10.4885057471264</v>
      </c>
      <c r="D2" s="36">
        <v>12.4122078917124</v>
      </c>
      <c r="E2" s="36">
        <v>11.0972412932218</v>
      </c>
      <c r="F2" s="36">
        <v>21.4189766760288</v>
      </c>
      <c r="G2" s="36">
        <v>24.6264196054991</v>
      </c>
      <c r="H2" s="37">
        <f t="shared" ref="H2:H39" si="1">AVERAGE(B2:G2)</f>
        <v>15.05969227</v>
      </c>
      <c r="I2" s="34" t="s">
        <v>178</v>
      </c>
      <c r="J2" s="38">
        <v>1.156812339</v>
      </c>
      <c r="K2" s="38">
        <v>0.9253547193</v>
      </c>
      <c r="L2" s="38">
        <v>0.623885918</v>
      </c>
      <c r="M2" s="38">
        <v>0.628391888</v>
      </c>
      <c r="N2" s="38">
        <v>1.119606772</v>
      </c>
      <c r="O2" s="38">
        <v>1.622187336</v>
      </c>
      <c r="P2" s="13">
        <f t="shared" ref="P2:P39" si="2">AVERAGE(J2:O2)</f>
        <v>1.012706495</v>
      </c>
    </row>
    <row r="3">
      <c r="A3" s="32" t="s">
        <v>178</v>
      </c>
      <c r="B3" s="36">
        <v>18.9955686853767</v>
      </c>
      <c r="C3" s="36">
        <v>24.4914040114613</v>
      </c>
      <c r="D3" s="36">
        <v>30.0181083716395</v>
      </c>
      <c r="E3" s="36">
        <v>27.464645781176</v>
      </c>
      <c r="F3" s="36">
        <v>38.2565314428253</v>
      </c>
      <c r="G3" s="36">
        <v>45.6230886850153</v>
      </c>
      <c r="H3" s="37">
        <f t="shared" si="1"/>
        <v>30.8082245</v>
      </c>
      <c r="I3" s="34" t="s">
        <v>179</v>
      </c>
      <c r="J3" s="38">
        <v>3.155996393</v>
      </c>
      <c r="K3" s="38">
        <v>3.959035844</v>
      </c>
      <c r="L3" s="38">
        <v>1.941040883</v>
      </c>
      <c r="M3" s="38">
        <v>2.210984358</v>
      </c>
      <c r="N3" s="38">
        <v>3.032712403</v>
      </c>
      <c r="O3" s="38">
        <v>3.816207918</v>
      </c>
      <c r="P3" s="13">
        <f t="shared" si="2"/>
        <v>3.019329633</v>
      </c>
    </row>
    <row r="4">
      <c r="A4" s="32" t="s">
        <v>179</v>
      </c>
      <c r="B4" s="36">
        <v>35.8117709262747</v>
      </c>
      <c r="C4" s="36">
        <v>36.2773487773488</v>
      </c>
      <c r="D4" s="36">
        <v>34.2417210235825</v>
      </c>
      <c r="E4" s="36">
        <v>43.9336942227116</v>
      </c>
      <c r="F4" s="36">
        <v>54.461914849181</v>
      </c>
      <c r="G4" s="36">
        <v>58.4884228920926</v>
      </c>
      <c r="H4" s="37">
        <f t="shared" si="1"/>
        <v>43.86914545</v>
      </c>
      <c r="I4" s="34" t="s">
        <v>180</v>
      </c>
      <c r="J4" s="38">
        <v>14.82142857</v>
      </c>
      <c r="K4" s="38">
        <v>21.95012692</v>
      </c>
      <c r="L4" s="38">
        <v>21.60351534</v>
      </c>
      <c r="M4" s="38">
        <v>17.41276241</v>
      </c>
      <c r="N4" s="38">
        <v>8.561093248</v>
      </c>
      <c r="O4" s="38">
        <v>3.248934246</v>
      </c>
      <c r="P4" s="13">
        <f t="shared" si="2"/>
        <v>14.59964346</v>
      </c>
    </row>
    <row r="5">
      <c r="A5" s="32" t="s">
        <v>181</v>
      </c>
      <c r="B5" s="36">
        <v>20.2728426395939</v>
      </c>
      <c r="C5" s="36">
        <v>17.558554366372</v>
      </c>
      <c r="D5" s="36">
        <v>15.7583118263246</v>
      </c>
      <c r="E5" s="36">
        <v>12.3049487293803</v>
      </c>
      <c r="F5" s="36">
        <v>13.4604190919674</v>
      </c>
      <c r="G5" s="36">
        <v>17.2418710781517</v>
      </c>
      <c r="H5" s="37">
        <f t="shared" si="1"/>
        <v>16.09949129</v>
      </c>
      <c r="I5" s="34" t="s">
        <v>182</v>
      </c>
      <c r="J5" s="38">
        <v>4.11332992</v>
      </c>
      <c r="K5" s="38">
        <v>11.62829496</v>
      </c>
      <c r="L5" s="38">
        <v>19.66998856</v>
      </c>
      <c r="M5" s="38">
        <v>24.64023025</v>
      </c>
      <c r="N5" s="38">
        <v>19.41884081</v>
      </c>
      <c r="O5" s="38">
        <v>9.228187919</v>
      </c>
      <c r="P5" s="13">
        <f t="shared" si="2"/>
        <v>14.7831454</v>
      </c>
    </row>
    <row r="6">
      <c r="A6" s="32" t="s">
        <v>180</v>
      </c>
      <c r="B6" s="36">
        <v>18.0887156253293</v>
      </c>
      <c r="C6" s="36">
        <v>14.9854179163133</v>
      </c>
      <c r="D6" s="36">
        <v>12.3342822285482</v>
      </c>
      <c r="E6" s="36">
        <v>15.3180926452336</v>
      </c>
      <c r="F6" s="36">
        <v>20.9019383590007</v>
      </c>
      <c r="G6" s="36">
        <v>26.0747827101441</v>
      </c>
      <c r="H6" s="37">
        <f t="shared" si="1"/>
        <v>17.95053825</v>
      </c>
      <c r="I6" s="34" t="s">
        <v>183</v>
      </c>
      <c r="J6" s="38">
        <v>27.33820047</v>
      </c>
      <c r="K6" s="38">
        <v>32.24091261</v>
      </c>
      <c r="L6" s="38">
        <v>22.8766863</v>
      </c>
      <c r="M6" s="38">
        <v>25.92143324</v>
      </c>
      <c r="N6" s="38">
        <v>29.1700979</v>
      </c>
      <c r="O6" s="38">
        <v>26.49434572</v>
      </c>
      <c r="P6" s="13">
        <f t="shared" si="2"/>
        <v>27.34027937</v>
      </c>
    </row>
    <row r="7">
      <c r="A7" s="32" t="s">
        <v>184</v>
      </c>
      <c r="B7" s="36">
        <v>13.9350180505415</v>
      </c>
      <c r="C7" s="36">
        <v>11.8271954674221</v>
      </c>
      <c r="D7" s="36">
        <v>8.42032011134308</v>
      </c>
      <c r="E7" s="36">
        <v>7.33882030178327</v>
      </c>
      <c r="F7" s="36">
        <v>16.1595672751859</v>
      </c>
      <c r="G7" s="36">
        <v>17.6509621765096</v>
      </c>
      <c r="H7" s="37">
        <f t="shared" si="1"/>
        <v>12.5553139</v>
      </c>
      <c r="I7" s="34" t="s">
        <v>185</v>
      </c>
      <c r="J7" s="38">
        <v>15.2754591</v>
      </c>
      <c r="K7" s="38">
        <v>23.38601566</v>
      </c>
      <c r="L7" s="38">
        <v>22.87305352</v>
      </c>
      <c r="M7" s="38">
        <v>26.81601717</v>
      </c>
      <c r="N7" s="38">
        <v>34.44662737</v>
      </c>
      <c r="O7" s="38">
        <v>45.53922981</v>
      </c>
      <c r="P7" s="13">
        <f t="shared" si="2"/>
        <v>28.05606711</v>
      </c>
    </row>
    <row r="8">
      <c r="A8" s="32" t="s">
        <v>182</v>
      </c>
      <c r="B8" s="36">
        <v>19.3758661397115</v>
      </c>
      <c r="C8" s="36">
        <v>21.8140589569161</v>
      </c>
      <c r="D8" s="36">
        <v>20.1256927949327</v>
      </c>
      <c r="E8" s="36">
        <v>18.4346135148274</v>
      </c>
      <c r="F8" s="36">
        <v>21.3443452523034</v>
      </c>
      <c r="G8" s="36">
        <v>35.6841611996251</v>
      </c>
      <c r="H8" s="37">
        <f t="shared" si="1"/>
        <v>22.79645631</v>
      </c>
      <c r="I8" s="34" t="s">
        <v>186</v>
      </c>
      <c r="J8" s="38">
        <v>16.55762082</v>
      </c>
      <c r="K8" s="38">
        <v>28.29921371</v>
      </c>
      <c r="L8" s="38">
        <v>20.93447833</v>
      </c>
      <c r="M8" s="38">
        <v>20.98315151</v>
      </c>
      <c r="N8" s="38">
        <v>28.80995656</v>
      </c>
      <c r="O8" s="38">
        <v>26.08145489</v>
      </c>
      <c r="P8" s="13">
        <f t="shared" si="2"/>
        <v>23.6109793</v>
      </c>
    </row>
    <row r="9">
      <c r="A9" s="32" t="s">
        <v>187</v>
      </c>
      <c r="B9" s="36">
        <v>44.9796778563902</v>
      </c>
      <c r="C9" s="36">
        <v>48.2891423492816</v>
      </c>
      <c r="D9" s="36">
        <v>57.1928800700321</v>
      </c>
      <c r="E9" s="36">
        <v>67.6064441887227</v>
      </c>
      <c r="F9" s="36">
        <v>83.9665438049334</v>
      </c>
      <c r="G9" s="36">
        <v>83.9106145251397</v>
      </c>
      <c r="H9" s="37">
        <f t="shared" si="1"/>
        <v>64.32421713</v>
      </c>
      <c r="I9" s="34" t="s">
        <v>188</v>
      </c>
      <c r="J9" s="38">
        <v>47.39804854</v>
      </c>
      <c r="K9" s="38">
        <v>73.79828066</v>
      </c>
      <c r="L9" s="38">
        <v>62.18309859</v>
      </c>
      <c r="M9" s="38">
        <v>68.29240564</v>
      </c>
      <c r="N9" s="38">
        <v>67.29290266</v>
      </c>
      <c r="O9" s="38">
        <v>68.33103155</v>
      </c>
      <c r="P9" s="13">
        <f t="shared" si="2"/>
        <v>64.54929461</v>
      </c>
    </row>
    <row r="10">
      <c r="A10" s="32" t="s">
        <v>189</v>
      </c>
      <c r="B10" s="36">
        <v>31.7742438415965</v>
      </c>
      <c r="C10" s="36">
        <v>42.6300099370653</v>
      </c>
      <c r="D10" s="36">
        <v>48.4007029876977</v>
      </c>
      <c r="E10" s="36">
        <v>61.9311875693674</v>
      </c>
      <c r="F10" s="36">
        <v>77.8596355176425</v>
      </c>
      <c r="G10" s="36">
        <v>85.8289843436371</v>
      </c>
      <c r="H10" s="37">
        <f t="shared" si="1"/>
        <v>58.07079403</v>
      </c>
      <c r="I10" s="34" t="s">
        <v>190</v>
      </c>
      <c r="J10" s="38">
        <v>42.41956809</v>
      </c>
      <c r="K10" s="38">
        <v>58.24135199</v>
      </c>
      <c r="L10" s="38">
        <v>48.51911959</v>
      </c>
      <c r="M10" s="38">
        <v>59.70767357</v>
      </c>
      <c r="N10" s="38">
        <v>55.20599251</v>
      </c>
      <c r="O10" s="38">
        <v>55.32432432</v>
      </c>
      <c r="P10" s="13">
        <f t="shared" si="2"/>
        <v>53.23633835</v>
      </c>
    </row>
    <row r="11">
      <c r="A11" s="32" t="s">
        <v>183</v>
      </c>
      <c r="B11" s="36">
        <v>23.3053201833588</v>
      </c>
      <c r="C11" s="36">
        <v>19.6551486784141</v>
      </c>
      <c r="D11" s="36">
        <v>8.45686180750051</v>
      </c>
      <c r="E11" s="36">
        <v>0.929506750797205</v>
      </c>
      <c r="F11" s="36">
        <v>0.987296559625299</v>
      </c>
      <c r="G11" s="36">
        <v>1.03148024112525</v>
      </c>
      <c r="H11" s="37">
        <f t="shared" si="1"/>
        <v>9.060935703</v>
      </c>
      <c r="I11" s="34" t="s">
        <v>191</v>
      </c>
      <c r="J11" s="38">
        <v>35.97687861</v>
      </c>
      <c r="K11" s="38">
        <v>38.08880888</v>
      </c>
      <c r="L11" s="38">
        <v>19.52896431</v>
      </c>
      <c r="M11" s="38">
        <v>19.887336</v>
      </c>
      <c r="N11" s="38">
        <v>20.88141248</v>
      </c>
      <c r="O11" s="38">
        <v>28.44354018</v>
      </c>
      <c r="P11" s="13">
        <f t="shared" si="2"/>
        <v>27.13449008</v>
      </c>
    </row>
    <row r="12">
      <c r="A12" s="32" t="s">
        <v>192</v>
      </c>
      <c r="B12" s="36">
        <v>70.2695167286245</v>
      </c>
      <c r="C12" s="36">
        <v>55.2822395594309</v>
      </c>
      <c r="D12" s="36">
        <v>46.4389534883721</v>
      </c>
      <c r="E12" s="36">
        <v>43.8598071898369</v>
      </c>
      <c r="F12" s="36">
        <v>47.4451901565996</v>
      </c>
      <c r="G12" s="36">
        <v>48.3569329414908</v>
      </c>
      <c r="H12" s="37">
        <f t="shared" si="1"/>
        <v>51.94210668</v>
      </c>
      <c r="I12" s="39" t="s">
        <v>193</v>
      </c>
      <c r="J12" s="38">
        <v>20.65689905</v>
      </c>
      <c r="K12" s="38">
        <v>34.35743131</v>
      </c>
      <c r="L12" s="38">
        <v>34.36498632</v>
      </c>
      <c r="M12" s="38">
        <v>37.3309636</v>
      </c>
      <c r="N12" s="38">
        <v>38.81166947</v>
      </c>
      <c r="O12" s="38">
        <v>42.25947742</v>
      </c>
      <c r="P12" s="40">
        <f t="shared" si="2"/>
        <v>34.63023786</v>
      </c>
    </row>
    <row r="13">
      <c r="A13" s="32" t="s">
        <v>185</v>
      </c>
      <c r="B13" s="36">
        <v>38.3795412245293</v>
      </c>
      <c r="C13" s="36">
        <v>31.9983217453848</v>
      </c>
      <c r="D13" s="36">
        <v>27.4186251398909</v>
      </c>
      <c r="E13" s="36">
        <v>24.8644617533559</v>
      </c>
      <c r="F13" s="36">
        <v>28.743713858366</v>
      </c>
      <c r="G13" s="36">
        <v>29.5418029999179</v>
      </c>
      <c r="H13" s="37">
        <f t="shared" si="1"/>
        <v>30.15774445</v>
      </c>
      <c r="I13" s="39" t="s">
        <v>194</v>
      </c>
      <c r="J13" s="38">
        <v>44.24730449</v>
      </c>
      <c r="K13" s="38">
        <v>11.19210424</v>
      </c>
      <c r="L13" s="38">
        <v>4.301009483</v>
      </c>
      <c r="M13" s="38">
        <v>6.541296651</v>
      </c>
      <c r="N13" s="38">
        <v>13.22687225</v>
      </c>
      <c r="O13" s="38">
        <v>20.31184596</v>
      </c>
      <c r="P13" s="13">
        <f t="shared" si="2"/>
        <v>16.63673885</v>
      </c>
    </row>
    <row r="14">
      <c r="A14" s="32" t="s">
        <v>195</v>
      </c>
      <c r="B14" s="36">
        <v>35.5319759105248</v>
      </c>
      <c r="C14" s="36">
        <v>25.1136363636364</v>
      </c>
      <c r="D14" s="36">
        <v>26.90898844745</v>
      </c>
      <c r="E14" s="36">
        <v>29.7824874511991</v>
      </c>
      <c r="F14" s="36">
        <v>51.4673311184939</v>
      </c>
      <c r="G14" s="36">
        <v>58.6724938541382</v>
      </c>
      <c r="H14" s="37">
        <f t="shared" si="1"/>
        <v>37.91281886</v>
      </c>
      <c r="I14" s="39" t="s">
        <v>196</v>
      </c>
      <c r="J14" s="38">
        <v>22.39019818</v>
      </c>
      <c r="K14" s="38">
        <v>32.06665973</v>
      </c>
      <c r="L14" s="38">
        <v>22.5117612</v>
      </c>
      <c r="M14" s="38">
        <v>28.38026688</v>
      </c>
      <c r="N14" s="38">
        <v>30.01084729</v>
      </c>
      <c r="O14" s="38">
        <v>37.87266058</v>
      </c>
      <c r="P14" s="13">
        <f t="shared" si="2"/>
        <v>28.87206564</v>
      </c>
    </row>
    <row r="15">
      <c r="A15" s="32" t="s">
        <v>186</v>
      </c>
      <c r="B15" s="36">
        <v>12.9885363377394</v>
      </c>
      <c r="C15" s="36">
        <v>13.5760073260073</v>
      </c>
      <c r="D15" s="36">
        <v>14.8431649887678</v>
      </c>
      <c r="E15" s="36">
        <v>8.82239434217966</v>
      </c>
      <c r="F15" s="36">
        <v>12.0293727298128</v>
      </c>
      <c r="G15" s="36">
        <v>8.93048583340424</v>
      </c>
      <c r="H15" s="37">
        <f t="shared" si="1"/>
        <v>11.86499359</v>
      </c>
      <c r="I15" s="34" t="s">
        <v>197</v>
      </c>
      <c r="J15" s="38">
        <v>60.45439963</v>
      </c>
      <c r="K15" s="38">
        <v>64.2674101</v>
      </c>
      <c r="L15" s="38">
        <v>48.39529103</v>
      </c>
      <c r="M15" s="38">
        <v>63.8615307</v>
      </c>
      <c r="N15" s="38">
        <v>68.75096774</v>
      </c>
      <c r="O15" s="38">
        <v>57.52753055</v>
      </c>
      <c r="P15" s="13">
        <f t="shared" si="2"/>
        <v>60.54285496</v>
      </c>
    </row>
    <row r="16">
      <c r="A16" s="32" t="s">
        <v>198</v>
      </c>
      <c r="B16" s="36">
        <v>4.24021299674588</v>
      </c>
      <c r="C16" s="36">
        <v>3.76312718786464</v>
      </c>
      <c r="D16" s="36">
        <v>9.30656934306569</v>
      </c>
      <c r="E16" s="36">
        <v>11.8930197268589</v>
      </c>
      <c r="F16" s="36">
        <v>12.2225344197808</v>
      </c>
      <c r="G16" s="36">
        <v>6.38868343195266</v>
      </c>
      <c r="H16" s="37">
        <f t="shared" si="1"/>
        <v>7.969024518</v>
      </c>
      <c r="I16" s="34" t="s">
        <v>199</v>
      </c>
      <c r="J16" s="38">
        <v>45.08259212</v>
      </c>
      <c r="K16" s="38">
        <v>56.95200396</v>
      </c>
      <c r="L16" s="38">
        <v>52.2853688</v>
      </c>
      <c r="M16" s="38">
        <v>58.31952663</v>
      </c>
      <c r="N16" s="38">
        <v>29.30814695</v>
      </c>
      <c r="O16" s="38">
        <v>5.374389274</v>
      </c>
      <c r="P16" s="13">
        <f t="shared" si="2"/>
        <v>41.22033796</v>
      </c>
    </row>
    <row r="17">
      <c r="A17" s="32" t="s">
        <v>188</v>
      </c>
      <c r="B17" s="36">
        <v>101.683156608459</v>
      </c>
      <c r="C17" s="36">
        <v>93.1941818743007</v>
      </c>
      <c r="D17" s="36">
        <v>88.0502193314173</v>
      </c>
      <c r="E17" s="36">
        <v>78.949321065519</v>
      </c>
      <c r="F17" s="36">
        <v>85.4925112058598</v>
      </c>
      <c r="G17" s="36">
        <v>86.6537717601547</v>
      </c>
      <c r="H17" s="37">
        <f t="shared" si="1"/>
        <v>89.00386031</v>
      </c>
      <c r="I17" s="34" t="s">
        <v>200</v>
      </c>
      <c r="J17" s="38">
        <v>55.07222853</v>
      </c>
      <c r="K17" s="38">
        <v>41.19754758</v>
      </c>
      <c r="L17" s="38">
        <v>35.94043887</v>
      </c>
      <c r="M17" s="38">
        <v>42.05484743</v>
      </c>
      <c r="N17" s="38">
        <v>36.44106464</v>
      </c>
      <c r="O17" s="38">
        <v>39.63410062</v>
      </c>
      <c r="P17" s="13">
        <f t="shared" si="2"/>
        <v>41.72337128</v>
      </c>
    </row>
    <row r="18">
      <c r="A18" s="32" t="s">
        <v>201</v>
      </c>
      <c r="B18" s="36">
        <v>29.3967559686532</v>
      </c>
      <c r="C18" s="36">
        <v>28.2120883098082</v>
      </c>
      <c r="D18" s="36">
        <v>18.1622010429779</v>
      </c>
      <c r="E18" s="36">
        <v>17.6270579813887</v>
      </c>
      <c r="F18" s="36">
        <v>49.447612259444</v>
      </c>
      <c r="G18" s="36">
        <v>50.7528786536758</v>
      </c>
      <c r="H18" s="37">
        <f t="shared" si="1"/>
        <v>32.26643237</v>
      </c>
      <c r="I18" s="34" t="s">
        <v>202</v>
      </c>
      <c r="J18" s="38">
        <v>21.16576729</v>
      </c>
      <c r="K18" s="38">
        <v>29.52335681</v>
      </c>
      <c r="L18" s="38">
        <v>28.00403904</v>
      </c>
      <c r="M18" s="38">
        <v>39.07263028</v>
      </c>
      <c r="N18" s="38">
        <v>44.1852089</v>
      </c>
      <c r="O18" s="38">
        <v>50.05473454</v>
      </c>
      <c r="P18" s="40">
        <f t="shared" si="2"/>
        <v>35.33428948</v>
      </c>
    </row>
    <row r="19">
      <c r="A19" s="32" t="s">
        <v>203</v>
      </c>
      <c r="B19" s="36">
        <v>45.8092975907703</v>
      </c>
      <c r="C19" s="36">
        <v>33.0523046203339</v>
      </c>
      <c r="D19" s="36">
        <v>23.2318832689062</v>
      </c>
      <c r="E19" s="36">
        <v>18.7837621008718</v>
      </c>
      <c r="F19" s="36">
        <v>27.9543902054543</v>
      </c>
      <c r="G19" s="36">
        <v>29.8306310027884</v>
      </c>
      <c r="H19" s="37">
        <f t="shared" si="1"/>
        <v>29.7770448</v>
      </c>
      <c r="I19" s="34" t="s">
        <v>204</v>
      </c>
      <c r="J19" s="38">
        <v>21.83573473</v>
      </c>
      <c r="K19" s="38">
        <v>38.10589113</v>
      </c>
      <c r="L19" s="38">
        <v>26.92947364</v>
      </c>
      <c r="M19" s="38">
        <v>37.05117086</v>
      </c>
      <c r="N19" s="38">
        <v>51.01069161</v>
      </c>
      <c r="O19" s="38">
        <v>50.34832682</v>
      </c>
      <c r="P19" s="40">
        <f t="shared" si="2"/>
        <v>37.54688147</v>
      </c>
    </row>
    <row r="20">
      <c r="A20" s="32" t="s">
        <v>190</v>
      </c>
      <c r="B20" s="36">
        <v>30.5691467533697</v>
      </c>
      <c r="C20" s="36">
        <v>30.978670978671</v>
      </c>
      <c r="D20" s="36">
        <v>24.0987230970536</v>
      </c>
      <c r="E20" s="36">
        <v>18.2175044474176</v>
      </c>
      <c r="F20" s="36">
        <v>30.3443019041592</v>
      </c>
      <c r="G20" s="36">
        <v>35.1622668074622</v>
      </c>
      <c r="H20" s="37">
        <f t="shared" si="1"/>
        <v>28.22843566</v>
      </c>
      <c r="I20" s="34" t="s">
        <v>205</v>
      </c>
      <c r="J20" s="38">
        <v>33.04210526</v>
      </c>
      <c r="K20" s="38">
        <v>1.133603239</v>
      </c>
      <c r="L20" s="38">
        <v>1.016419077</v>
      </c>
      <c r="M20" s="38">
        <v>5.59909357</v>
      </c>
      <c r="N20" s="38">
        <v>10.90146751</v>
      </c>
      <c r="O20" s="38">
        <v>11.29018054</v>
      </c>
      <c r="P20" s="40">
        <f t="shared" si="2"/>
        <v>10.49714487</v>
      </c>
    </row>
    <row r="21" ht="15.75" customHeight="1">
      <c r="A21" s="32" t="s">
        <v>191</v>
      </c>
      <c r="B21" s="36">
        <v>47.9910608149874</v>
      </c>
      <c r="C21" s="36">
        <v>40.5228451411541</v>
      </c>
      <c r="D21" s="36">
        <v>40.8821074111863</v>
      </c>
      <c r="E21" s="36">
        <v>39.6660473864079</v>
      </c>
      <c r="F21" s="36">
        <v>48.4678590884329</v>
      </c>
      <c r="G21" s="36">
        <v>47.5911195002472</v>
      </c>
      <c r="H21" s="37">
        <f t="shared" si="1"/>
        <v>44.18683989</v>
      </c>
      <c r="I21" s="34" t="s">
        <v>177</v>
      </c>
      <c r="J21" s="38">
        <v>161.5294804</v>
      </c>
      <c r="K21" s="38">
        <v>0.9039548023</v>
      </c>
      <c r="L21" s="38">
        <v>0.8786381109</v>
      </c>
      <c r="M21" s="38">
        <v>0.7995735608</v>
      </c>
      <c r="N21" s="38">
        <v>0.7751937984</v>
      </c>
      <c r="O21" s="38">
        <v>1.355421687</v>
      </c>
      <c r="P21" s="13">
        <f t="shared" si="2"/>
        <v>27.70704373</v>
      </c>
    </row>
    <row r="22" ht="15.75" customHeight="1">
      <c r="A22" s="32" t="s">
        <v>193</v>
      </c>
      <c r="B22" s="36">
        <v>55.73055028463</v>
      </c>
      <c r="C22" s="36">
        <v>44.1168140478963</v>
      </c>
      <c r="D22" s="36">
        <v>44.3078852484715</v>
      </c>
      <c r="E22" s="36">
        <v>40.7770027213863</v>
      </c>
      <c r="F22" s="36">
        <v>52.1934477379095</v>
      </c>
      <c r="G22" s="36">
        <v>53.1999003922057</v>
      </c>
      <c r="H22" s="37">
        <f t="shared" si="1"/>
        <v>48.38760007</v>
      </c>
      <c r="I22" s="34" t="s">
        <v>181</v>
      </c>
      <c r="J22" s="38">
        <v>150.8750754</v>
      </c>
      <c r="K22" s="38">
        <v>7.26420621</v>
      </c>
      <c r="L22" s="38">
        <v>6.328392246</v>
      </c>
      <c r="M22" s="38">
        <v>7.479224377</v>
      </c>
      <c r="N22" s="38">
        <v>7.341907824</v>
      </c>
      <c r="O22" s="38">
        <v>6.555671176</v>
      </c>
      <c r="P22" s="13">
        <f t="shared" si="2"/>
        <v>30.97407954</v>
      </c>
    </row>
    <row r="23" ht="15.75" customHeight="1">
      <c r="A23" s="32" t="s">
        <v>206</v>
      </c>
      <c r="B23" s="36">
        <v>80.061115355233</v>
      </c>
      <c r="C23" s="36">
        <v>66.0276073619632</v>
      </c>
      <c r="D23" s="36">
        <v>59.9078341013825</v>
      </c>
      <c r="E23" s="36">
        <v>47.2952086553323</v>
      </c>
      <c r="F23" s="36">
        <v>58.3333333333333</v>
      </c>
      <c r="G23" s="36">
        <v>59.98445998446</v>
      </c>
      <c r="H23" s="37">
        <f t="shared" si="1"/>
        <v>61.93492647</v>
      </c>
      <c r="I23" s="34" t="s">
        <v>184</v>
      </c>
      <c r="J23" s="38">
        <v>21.54566745</v>
      </c>
      <c r="K23" s="38">
        <v>14.51247166</v>
      </c>
      <c r="L23" s="38">
        <v>11.52993348</v>
      </c>
      <c r="M23" s="38">
        <v>9.110629067</v>
      </c>
      <c r="N23" s="38">
        <v>9.110169492</v>
      </c>
      <c r="O23" s="38">
        <v>6.378600823</v>
      </c>
      <c r="P23" s="13">
        <f t="shared" si="2"/>
        <v>12.03124533</v>
      </c>
    </row>
    <row r="24" ht="15.75" customHeight="1">
      <c r="A24" s="32" t="s">
        <v>194</v>
      </c>
      <c r="B24" s="36">
        <v>30.2541658865381</v>
      </c>
      <c r="C24" s="36">
        <v>27.3894822225226</v>
      </c>
      <c r="D24" s="36">
        <v>25.4596427174338</v>
      </c>
      <c r="E24" s="36">
        <v>25.8864280466044</v>
      </c>
      <c r="F24" s="36">
        <v>29.2958833445033</v>
      </c>
      <c r="G24" s="36">
        <v>30.7230811597624</v>
      </c>
      <c r="H24" s="37">
        <f t="shared" si="1"/>
        <v>28.1681139</v>
      </c>
      <c r="I24" s="34" t="s">
        <v>187</v>
      </c>
      <c r="J24" s="38">
        <v>77.00050327</v>
      </c>
      <c r="K24" s="38">
        <v>3.998025666</v>
      </c>
      <c r="L24" s="38">
        <v>7.897286822</v>
      </c>
      <c r="M24" s="38">
        <v>7.373929591</v>
      </c>
      <c r="N24" s="38">
        <v>4.553903346</v>
      </c>
      <c r="O24" s="38">
        <v>3.401360544</v>
      </c>
      <c r="P24" s="40">
        <f t="shared" si="2"/>
        <v>17.37083487</v>
      </c>
    </row>
    <row r="25" ht="15.75" customHeight="1">
      <c r="A25" s="32" t="s">
        <v>207</v>
      </c>
      <c r="B25" s="36">
        <v>84.3314191960624</v>
      </c>
      <c r="C25" s="36">
        <v>73.7715587373902</v>
      </c>
      <c r="D25" s="36">
        <v>69.749393694422</v>
      </c>
      <c r="E25" s="36">
        <v>51.1990986640914</v>
      </c>
      <c r="F25" s="36">
        <v>38.8541165142032</v>
      </c>
      <c r="G25" s="36">
        <v>17.2297838270616</v>
      </c>
      <c r="H25" s="37">
        <f t="shared" si="1"/>
        <v>55.85589511</v>
      </c>
      <c r="I25" s="34" t="s">
        <v>189</v>
      </c>
      <c r="J25" s="38">
        <v>3.818034119</v>
      </c>
      <c r="K25" s="38">
        <v>13.53637902</v>
      </c>
      <c r="L25" s="38">
        <v>13.39207048</v>
      </c>
      <c r="M25" s="38">
        <v>16.12021858</v>
      </c>
      <c r="N25" s="38">
        <v>17.29323308</v>
      </c>
      <c r="O25" s="38">
        <v>4.69348659</v>
      </c>
      <c r="P25" s="40">
        <f t="shared" si="2"/>
        <v>11.47557031</v>
      </c>
    </row>
    <row r="26" ht="15.75" customHeight="1">
      <c r="A26" s="32" t="s">
        <v>208</v>
      </c>
      <c r="B26" s="36">
        <v>93.463230672533</v>
      </c>
      <c r="C26" s="36">
        <v>82.3166974738139</v>
      </c>
      <c r="D26" s="36">
        <v>77.8181818181818</v>
      </c>
      <c r="E26" s="36">
        <v>74.3742550655542</v>
      </c>
      <c r="F26" s="36">
        <v>79.7289334119034</v>
      </c>
      <c r="G26" s="36">
        <v>82.9268292682927</v>
      </c>
      <c r="H26" s="37">
        <f t="shared" si="1"/>
        <v>81.77135462</v>
      </c>
      <c r="I26" s="34" t="s">
        <v>192</v>
      </c>
      <c r="J26" s="38">
        <v>7.824726135</v>
      </c>
      <c r="K26" s="38">
        <v>11.03797468</v>
      </c>
      <c r="L26" s="38">
        <v>13.61398326</v>
      </c>
      <c r="M26" s="38">
        <v>15.4787617</v>
      </c>
      <c r="N26" s="38">
        <v>16.8263613</v>
      </c>
      <c r="O26" s="38">
        <v>21.05383212</v>
      </c>
      <c r="P26" s="40">
        <f t="shared" si="2"/>
        <v>14.30593987</v>
      </c>
    </row>
    <row r="27" ht="15.75" customHeight="1">
      <c r="A27" s="32" t="s">
        <v>196</v>
      </c>
      <c r="B27" s="36">
        <v>34.3990910136923</v>
      </c>
      <c r="C27" s="36">
        <v>25.5166018658859</v>
      </c>
      <c r="D27" s="36">
        <v>25.7231615400285</v>
      </c>
      <c r="E27" s="36">
        <v>23.3132414761588</v>
      </c>
      <c r="F27" s="36">
        <v>30.3064479892159</v>
      </c>
      <c r="G27" s="36">
        <v>32.8429982094421</v>
      </c>
      <c r="H27" s="37">
        <f t="shared" si="1"/>
        <v>28.68359035</v>
      </c>
      <c r="I27" s="34" t="s">
        <v>195</v>
      </c>
      <c r="J27" s="38">
        <v>1584.881757</v>
      </c>
      <c r="K27" s="38">
        <v>21.68473728</v>
      </c>
      <c r="L27" s="38">
        <v>22.67106348</v>
      </c>
      <c r="M27" s="38">
        <v>19.12479741</v>
      </c>
      <c r="N27" s="38">
        <v>29.12</v>
      </c>
      <c r="O27" s="38">
        <v>24.76489028</v>
      </c>
      <c r="P27" s="40">
        <f t="shared" si="2"/>
        <v>283.7078742</v>
      </c>
    </row>
    <row r="28" ht="15.75" customHeight="1">
      <c r="A28" s="32" t="s">
        <v>209</v>
      </c>
      <c r="B28" s="36">
        <v>146.099953292854</v>
      </c>
      <c r="C28" s="36">
        <v>116.115510013973</v>
      </c>
      <c r="D28" s="36">
        <v>99.8604001861331</v>
      </c>
      <c r="E28" s="36">
        <v>91.006026889198</v>
      </c>
      <c r="F28" s="36">
        <v>103.201856148492</v>
      </c>
      <c r="G28" s="36">
        <v>104.863362667902</v>
      </c>
      <c r="H28" s="37">
        <f t="shared" si="1"/>
        <v>110.1911849</v>
      </c>
      <c r="I28" s="34" t="s">
        <v>198</v>
      </c>
      <c r="J28" s="38">
        <v>32.58196721</v>
      </c>
      <c r="K28" s="38">
        <v>22.63210369</v>
      </c>
      <c r="L28" s="38">
        <v>17.22797927</v>
      </c>
      <c r="M28" s="38">
        <v>15.85903084</v>
      </c>
      <c r="N28" s="38">
        <v>9.016143771</v>
      </c>
      <c r="O28" s="38">
        <v>4.957214518</v>
      </c>
      <c r="P28" s="40">
        <f t="shared" si="2"/>
        <v>17.04573988</v>
      </c>
    </row>
    <row r="29" ht="15.75" customHeight="1">
      <c r="A29" s="32" t="s">
        <v>197</v>
      </c>
      <c r="B29" s="36">
        <v>70.3150409583548</v>
      </c>
      <c r="C29" s="36">
        <v>56.2009092619923</v>
      </c>
      <c r="D29" s="36">
        <v>49.3392113355911</v>
      </c>
      <c r="E29" s="36">
        <v>49.3688706711615</v>
      </c>
      <c r="F29" s="36">
        <v>61.0992700454571</v>
      </c>
      <c r="G29" s="36">
        <v>64.7179124873342</v>
      </c>
      <c r="H29" s="37">
        <f t="shared" si="1"/>
        <v>58.50686913</v>
      </c>
      <c r="I29" s="34" t="s">
        <v>201</v>
      </c>
      <c r="J29" s="38">
        <v>831.6006176</v>
      </c>
      <c r="K29" s="38">
        <v>49.72236244</v>
      </c>
      <c r="L29" s="38">
        <v>5.594059406</v>
      </c>
      <c r="M29" s="38">
        <v>10.37506089</v>
      </c>
      <c r="N29" s="38">
        <v>16.93779904</v>
      </c>
      <c r="O29" s="38">
        <v>50.89538172</v>
      </c>
      <c r="P29" s="40">
        <f t="shared" si="2"/>
        <v>160.8542135</v>
      </c>
    </row>
    <row r="30" ht="15.75" customHeight="1">
      <c r="A30" s="32" t="s">
        <v>199</v>
      </c>
      <c r="B30" s="36">
        <v>83.0015090298399</v>
      </c>
      <c r="C30" s="36">
        <v>69.6127300613497</v>
      </c>
      <c r="D30" s="36">
        <v>68.8274231678487</v>
      </c>
      <c r="E30" s="36">
        <v>55.7563869039279</v>
      </c>
      <c r="F30" s="36">
        <v>62.7908050221566</v>
      </c>
      <c r="G30" s="36">
        <v>56.2091801781229</v>
      </c>
      <c r="H30" s="37">
        <f t="shared" si="1"/>
        <v>66.03300573</v>
      </c>
      <c r="I30" s="34" t="s">
        <v>203</v>
      </c>
      <c r="J30" s="38">
        <v>54.16896742</v>
      </c>
      <c r="K30" s="38">
        <v>16.69937556</v>
      </c>
      <c r="L30" s="38">
        <v>19.15224913</v>
      </c>
      <c r="M30" s="38">
        <v>25.1761154</v>
      </c>
      <c r="N30" s="38">
        <v>27.33171127</v>
      </c>
      <c r="O30" s="38">
        <v>26.83731156</v>
      </c>
      <c r="P30" s="40">
        <f t="shared" si="2"/>
        <v>28.22762172</v>
      </c>
    </row>
    <row r="31" ht="15.75" customHeight="1">
      <c r="A31" s="32" t="s">
        <v>210</v>
      </c>
      <c r="B31" s="36">
        <v>65.0863978732831</v>
      </c>
      <c r="C31" s="36">
        <v>44.1677588466579</v>
      </c>
      <c r="D31" s="36">
        <v>37.1490280777538</v>
      </c>
      <c r="E31" s="36">
        <v>43.0406852248394</v>
      </c>
      <c r="F31" s="36">
        <v>61.5742699957681</v>
      </c>
      <c r="G31" s="36">
        <v>77.9696714406066</v>
      </c>
      <c r="H31" s="37">
        <f t="shared" si="1"/>
        <v>54.83130191</v>
      </c>
      <c r="I31" s="34" t="s">
        <v>206</v>
      </c>
      <c r="J31" s="38">
        <v>55.71177504</v>
      </c>
      <c r="K31" s="38">
        <v>58.51979346</v>
      </c>
      <c r="L31" s="38">
        <v>29.8811545</v>
      </c>
      <c r="M31" s="38">
        <v>22.70450751</v>
      </c>
      <c r="N31" s="38">
        <v>27.72277228</v>
      </c>
      <c r="O31" s="38">
        <v>57.09624796</v>
      </c>
      <c r="P31" s="40">
        <f t="shared" si="2"/>
        <v>41.93937513</v>
      </c>
    </row>
    <row r="32" ht="15.75" customHeight="1">
      <c r="A32" s="32" t="s">
        <v>200</v>
      </c>
      <c r="B32" s="36">
        <v>57.1347374403991</v>
      </c>
      <c r="C32" s="36">
        <v>47.8480140333292</v>
      </c>
      <c r="D32" s="36">
        <v>45.2649923754396</v>
      </c>
      <c r="E32" s="36">
        <v>40.4426559356137</v>
      </c>
      <c r="F32" s="36">
        <v>48.0182316528595</v>
      </c>
      <c r="G32" s="36">
        <v>49.1641873447229</v>
      </c>
      <c r="H32" s="37">
        <f t="shared" si="1"/>
        <v>47.97880313</v>
      </c>
      <c r="I32" s="34" t="s">
        <v>207</v>
      </c>
      <c r="J32" s="38">
        <v>35.16725352</v>
      </c>
      <c r="K32" s="38">
        <v>3.127677806</v>
      </c>
      <c r="L32" s="38">
        <v>2.559798573</v>
      </c>
      <c r="M32" s="38">
        <v>8.915365653</v>
      </c>
      <c r="N32" s="38">
        <v>40.84507042</v>
      </c>
      <c r="O32" s="38">
        <v>40.41122974</v>
      </c>
      <c r="P32" s="40">
        <f t="shared" si="2"/>
        <v>21.83773262</v>
      </c>
    </row>
    <row r="33" ht="15.75" customHeight="1">
      <c r="A33" s="32" t="s">
        <v>211</v>
      </c>
      <c r="B33" s="36">
        <v>23.621606493143</v>
      </c>
      <c r="C33" s="36">
        <v>46.7310344827586</v>
      </c>
      <c r="D33" s="36">
        <v>77.7111716621253</v>
      </c>
      <c r="E33" s="36">
        <v>82.1081081081081</v>
      </c>
      <c r="F33" s="36">
        <v>84.4957081545064</v>
      </c>
      <c r="G33" s="36">
        <v>84.7444089456869</v>
      </c>
      <c r="H33" s="37">
        <f t="shared" si="1"/>
        <v>66.56867297</v>
      </c>
      <c r="I33" s="34" t="s">
        <v>208</v>
      </c>
      <c r="J33" s="38">
        <v>113.3663366</v>
      </c>
      <c r="K33" s="38">
        <v>2.551834131</v>
      </c>
      <c r="L33" s="38">
        <v>2.795031056</v>
      </c>
      <c r="M33" s="38">
        <v>3.157894737</v>
      </c>
      <c r="N33" s="38">
        <v>2.496328928</v>
      </c>
      <c r="O33" s="38">
        <v>3.591954023</v>
      </c>
      <c r="P33" s="40">
        <f t="shared" si="2"/>
        <v>21.32656325</v>
      </c>
    </row>
    <row r="34" ht="15.75" customHeight="1">
      <c r="A34" s="32" t="s">
        <v>202</v>
      </c>
      <c r="B34" s="36">
        <v>60.8573893825404</v>
      </c>
      <c r="C34" s="36">
        <v>46.884413907727</v>
      </c>
      <c r="D34" s="36">
        <v>34.3074523750528</v>
      </c>
      <c r="E34" s="36">
        <v>24.4838011721045</v>
      </c>
      <c r="F34" s="36">
        <v>29.6733940819402</v>
      </c>
      <c r="G34" s="36">
        <v>35.9895248784138</v>
      </c>
      <c r="H34" s="37">
        <f t="shared" si="1"/>
        <v>38.6993293</v>
      </c>
      <c r="I34" s="34" t="s">
        <v>209</v>
      </c>
      <c r="J34" s="38">
        <v>404.2035398</v>
      </c>
      <c r="K34" s="38">
        <v>68.98803047</v>
      </c>
      <c r="L34" s="38">
        <v>47.6344086</v>
      </c>
      <c r="M34" s="38">
        <v>72.03389831</v>
      </c>
      <c r="N34" s="38">
        <v>86.71548117</v>
      </c>
      <c r="O34" s="38">
        <v>70.85062241</v>
      </c>
      <c r="P34" s="40">
        <f t="shared" si="2"/>
        <v>125.0709968</v>
      </c>
    </row>
    <row r="35" ht="15.75" customHeight="1">
      <c r="A35" s="32" t="s">
        <v>212</v>
      </c>
      <c r="B35" s="36">
        <v>45.4800207576544</v>
      </c>
      <c r="C35" s="36">
        <v>35.3849278894983</v>
      </c>
      <c r="D35" s="36">
        <v>28.5187767705947</v>
      </c>
      <c r="E35" s="36">
        <v>30.5058213482047</v>
      </c>
      <c r="F35" s="36">
        <v>45.9282761272955</v>
      </c>
      <c r="G35" s="36">
        <v>57.8057078057078</v>
      </c>
      <c r="H35" s="37">
        <f t="shared" si="1"/>
        <v>40.60392178</v>
      </c>
      <c r="I35" s="34" t="s">
        <v>210</v>
      </c>
      <c r="J35" s="38">
        <v>40.52573932</v>
      </c>
      <c r="K35" s="38">
        <v>19.89304813</v>
      </c>
      <c r="L35" s="38">
        <v>7.684210526</v>
      </c>
      <c r="M35" s="38">
        <v>8.367768595</v>
      </c>
      <c r="N35" s="38">
        <v>4.255319149</v>
      </c>
      <c r="O35" s="38">
        <v>4.504504505</v>
      </c>
      <c r="P35" s="13">
        <f t="shared" si="2"/>
        <v>14.20509837</v>
      </c>
    </row>
    <row r="36" ht="15.75" customHeight="1">
      <c r="A36" s="32" t="s">
        <v>213</v>
      </c>
      <c r="B36" s="36">
        <v>60.21875</v>
      </c>
      <c r="C36" s="36">
        <v>52.7414330218068</v>
      </c>
      <c r="D36" s="36">
        <v>50.201926063995</v>
      </c>
      <c r="E36" s="36">
        <v>43.6312675179072</v>
      </c>
      <c r="F36" s="36">
        <v>43.2794026135657</v>
      </c>
      <c r="G36" s="36">
        <v>44.736019993752</v>
      </c>
      <c r="H36" s="37">
        <f t="shared" si="1"/>
        <v>49.13479987</v>
      </c>
      <c r="I36" s="34" t="s">
        <v>211</v>
      </c>
      <c r="J36" s="38">
        <v>49.76303318</v>
      </c>
      <c r="K36" s="38">
        <v>40.72847682</v>
      </c>
      <c r="L36" s="38">
        <v>16.015625</v>
      </c>
      <c r="M36" s="38">
        <v>24.43729904</v>
      </c>
      <c r="N36" s="38">
        <v>22.50476796</v>
      </c>
      <c r="O36" s="38">
        <v>14.81715006</v>
      </c>
      <c r="P36" s="13">
        <f t="shared" si="2"/>
        <v>28.04439201</v>
      </c>
    </row>
    <row r="37" ht="15.75" customHeight="1">
      <c r="A37" s="32" t="s">
        <v>204</v>
      </c>
      <c r="B37" s="36">
        <v>47.6395489147437</v>
      </c>
      <c r="C37" s="36">
        <v>38.3216946335632</v>
      </c>
      <c r="D37" s="36">
        <v>37.3495009580462</v>
      </c>
      <c r="E37" s="36">
        <v>33.1741908305834</v>
      </c>
      <c r="F37" s="36">
        <v>38.2587826374809</v>
      </c>
      <c r="G37" s="36">
        <v>40.137779525637</v>
      </c>
      <c r="H37" s="37">
        <f t="shared" si="1"/>
        <v>39.14691625</v>
      </c>
      <c r="I37" s="34" t="s">
        <v>212</v>
      </c>
      <c r="J37" s="38">
        <v>163.8608696</v>
      </c>
      <c r="K37" s="38">
        <v>17.97790425</v>
      </c>
      <c r="L37" s="38">
        <v>24.56254051</v>
      </c>
      <c r="M37" s="38">
        <v>33.38562912</v>
      </c>
      <c r="N37" s="38">
        <v>30.76456311</v>
      </c>
      <c r="O37" s="38">
        <v>40.61122539</v>
      </c>
      <c r="P37" s="40">
        <f t="shared" si="2"/>
        <v>51.86045533</v>
      </c>
    </row>
    <row r="38" ht="15.75" customHeight="1">
      <c r="A38" s="32" t="s">
        <v>205</v>
      </c>
      <c r="B38" s="36">
        <v>48.1815909516966</v>
      </c>
      <c r="C38" s="36">
        <v>37.2947423344894</v>
      </c>
      <c r="D38" s="36">
        <v>27.7089876781831</v>
      </c>
      <c r="E38" s="36">
        <v>22.4778287006726</v>
      </c>
      <c r="F38" s="36">
        <v>24.9750601490523</v>
      </c>
      <c r="G38" s="36">
        <v>23.0795957958132</v>
      </c>
      <c r="H38" s="37">
        <f t="shared" si="1"/>
        <v>30.61963427</v>
      </c>
      <c r="I38" s="34" t="s">
        <v>213</v>
      </c>
      <c r="J38" s="38">
        <v>20.4034135</v>
      </c>
      <c r="K38" s="38">
        <v>36.47234679</v>
      </c>
      <c r="L38" s="38">
        <v>30.00723066</v>
      </c>
      <c r="M38" s="38">
        <v>24.13793103</v>
      </c>
      <c r="N38" s="38">
        <v>21.36518771</v>
      </c>
      <c r="O38" s="38">
        <v>24.18387742</v>
      </c>
      <c r="P38" s="40">
        <f t="shared" si="2"/>
        <v>26.09499785</v>
      </c>
    </row>
    <row r="39" ht="15.75" customHeight="1">
      <c r="A39" s="32" t="s">
        <v>214</v>
      </c>
      <c r="B39" s="36">
        <v>34.7272727272727</v>
      </c>
      <c r="C39" s="36">
        <v>21.5846994535519</v>
      </c>
      <c r="D39" s="36">
        <v>28.0765724703737</v>
      </c>
      <c r="E39" s="36">
        <v>51.2750455373406</v>
      </c>
      <c r="F39" s="36">
        <v>72.4106324472961</v>
      </c>
      <c r="G39" s="36">
        <v>72.3636363636364</v>
      </c>
      <c r="H39" s="37">
        <f t="shared" si="1"/>
        <v>46.73964317</v>
      </c>
      <c r="I39" s="34" t="s">
        <v>214</v>
      </c>
      <c r="J39" s="34"/>
      <c r="K39" s="34"/>
      <c r="L39" s="38">
        <v>29.73760933</v>
      </c>
      <c r="M39" s="38">
        <v>87.28813559</v>
      </c>
      <c r="N39" s="38">
        <v>116.4835165</v>
      </c>
      <c r="O39" s="38">
        <v>51.70603675</v>
      </c>
      <c r="P39" s="40">
        <f t="shared" si="2"/>
        <v>71.30382454</v>
      </c>
    </row>
    <row r="40" ht="15.75" customHeight="1">
      <c r="A40" s="32"/>
      <c r="B40" s="32"/>
      <c r="C40" s="32"/>
      <c r="D40" s="32"/>
      <c r="E40" s="32"/>
      <c r="I40" s="34"/>
      <c r="J40" s="34"/>
      <c r="K40" s="34"/>
      <c r="L40" s="34"/>
      <c r="M40" s="34"/>
      <c r="N40" s="34"/>
      <c r="O40" s="34"/>
    </row>
    <row r="41" ht="15.75" customHeight="1">
      <c r="A41" s="32"/>
      <c r="B41" s="32"/>
      <c r="C41" s="32"/>
      <c r="D41" s="32"/>
      <c r="E41" s="32"/>
      <c r="I41" s="34"/>
      <c r="J41" s="34"/>
      <c r="K41" s="34"/>
      <c r="L41" s="34"/>
      <c r="M41" s="34"/>
      <c r="N41" s="34"/>
      <c r="O41" s="34"/>
    </row>
    <row r="42" ht="15.75" customHeight="1">
      <c r="A42" s="32"/>
      <c r="B42" s="32"/>
      <c r="C42" s="32"/>
      <c r="D42" s="32"/>
      <c r="E42" s="32"/>
      <c r="I42" s="34"/>
      <c r="J42" s="34"/>
      <c r="K42" s="34"/>
      <c r="L42" s="34"/>
      <c r="M42" s="34"/>
      <c r="N42" s="34"/>
      <c r="O42" s="34"/>
    </row>
    <row r="43" ht="15.75" customHeight="1">
      <c r="A43" s="32"/>
      <c r="B43" s="32"/>
      <c r="C43" s="32"/>
      <c r="D43" s="32"/>
      <c r="E43" s="32"/>
      <c r="I43" s="34"/>
      <c r="J43" s="34"/>
      <c r="K43" s="34"/>
      <c r="L43" s="34"/>
      <c r="M43" s="34"/>
      <c r="N43" s="34"/>
      <c r="O43" s="34"/>
    </row>
    <row r="44" ht="15.75" customHeight="1">
      <c r="A44" s="32"/>
      <c r="B44" s="32"/>
      <c r="C44" s="32"/>
      <c r="D44" s="32"/>
      <c r="E44" s="32"/>
      <c r="I44" s="34"/>
      <c r="J44" s="34"/>
      <c r="K44" s="34"/>
      <c r="L44" s="34"/>
      <c r="M44" s="34"/>
      <c r="N44" s="34"/>
      <c r="O44" s="34"/>
    </row>
    <row r="45" ht="15.75" customHeight="1">
      <c r="A45" s="32"/>
      <c r="B45" s="32"/>
      <c r="C45" s="32"/>
      <c r="D45" s="32"/>
      <c r="E45" s="32"/>
      <c r="I45" s="34"/>
      <c r="J45" s="34"/>
      <c r="K45" s="34"/>
      <c r="L45" s="34"/>
      <c r="M45" s="34"/>
      <c r="N45" s="34"/>
      <c r="O45" s="34"/>
    </row>
    <row r="46" ht="15.75" customHeight="1">
      <c r="A46" s="32"/>
      <c r="B46" s="32"/>
      <c r="C46" s="32"/>
      <c r="D46" s="32"/>
      <c r="E46" s="32"/>
      <c r="I46" s="34"/>
      <c r="J46" s="34"/>
      <c r="K46" s="34"/>
      <c r="L46" s="34"/>
      <c r="M46" s="34"/>
      <c r="N46" s="34"/>
      <c r="O46" s="34"/>
    </row>
    <row r="47" ht="15.75" customHeight="1">
      <c r="A47" s="32"/>
      <c r="B47" s="32"/>
      <c r="C47" s="32"/>
      <c r="D47" s="32"/>
      <c r="E47" s="32"/>
      <c r="I47" s="34"/>
      <c r="J47" s="34"/>
      <c r="K47" s="34"/>
      <c r="L47" s="34"/>
      <c r="M47" s="34"/>
      <c r="N47" s="34"/>
      <c r="O47" s="34"/>
    </row>
    <row r="48" ht="15.75" customHeight="1">
      <c r="A48" s="32"/>
      <c r="B48" s="32"/>
      <c r="C48" s="32"/>
      <c r="D48" s="32"/>
      <c r="E48" s="32"/>
      <c r="I48" s="34"/>
      <c r="J48" s="34"/>
      <c r="K48" s="34"/>
      <c r="L48" s="34"/>
      <c r="M48" s="34"/>
      <c r="N48" s="34"/>
      <c r="O48" s="34"/>
    </row>
    <row r="49" ht="15.75" customHeight="1">
      <c r="A49" s="32"/>
      <c r="B49" s="32"/>
      <c r="C49" s="32"/>
      <c r="D49" s="32"/>
      <c r="E49" s="32"/>
      <c r="I49" s="34"/>
      <c r="J49" s="34"/>
      <c r="K49" s="34"/>
      <c r="L49" s="34"/>
      <c r="M49" s="34"/>
      <c r="N49" s="34"/>
      <c r="O49" s="34"/>
    </row>
    <row r="50" ht="15.75" customHeight="1">
      <c r="A50" s="32"/>
      <c r="B50" s="32"/>
      <c r="C50" s="32"/>
      <c r="D50" s="32"/>
      <c r="E50" s="32"/>
      <c r="I50" s="34"/>
      <c r="J50" s="34"/>
      <c r="K50" s="34"/>
      <c r="L50" s="34"/>
      <c r="M50" s="34"/>
      <c r="N50" s="34"/>
      <c r="O50" s="34"/>
    </row>
    <row r="51" ht="15.75" customHeight="1">
      <c r="A51" s="32"/>
      <c r="B51" s="32"/>
      <c r="C51" s="32"/>
      <c r="D51" s="32"/>
      <c r="E51" s="32"/>
      <c r="I51" s="34"/>
      <c r="J51" s="34"/>
      <c r="K51" s="34"/>
      <c r="L51" s="34"/>
      <c r="M51" s="34"/>
      <c r="N51" s="34"/>
      <c r="O51" s="34"/>
    </row>
    <row r="52" ht="15.75" customHeight="1">
      <c r="A52" s="32"/>
      <c r="B52" s="32"/>
      <c r="C52" s="32"/>
      <c r="D52" s="32"/>
      <c r="E52" s="32"/>
      <c r="I52" s="34"/>
      <c r="J52" s="34"/>
      <c r="K52" s="34"/>
      <c r="L52" s="34"/>
      <c r="M52" s="34"/>
      <c r="N52" s="34"/>
      <c r="O52" s="34"/>
    </row>
    <row r="53" ht="15.75" customHeight="1">
      <c r="A53" s="32"/>
      <c r="B53" s="32"/>
      <c r="C53" s="32"/>
      <c r="D53" s="32"/>
      <c r="E53" s="32"/>
      <c r="I53" s="34"/>
      <c r="J53" s="34"/>
      <c r="K53" s="34"/>
      <c r="L53" s="34"/>
      <c r="M53" s="34"/>
      <c r="N53" s="34"/>
      <c r="O53" s="34"/>
    </row>
    <row r="54" ht="15.75" customHeight="1">
      <c r="A54" s="32"/>
      <c r="B54" s="32"/>
      <c r="C54" s="32"/>
      <c r="D54" s="32"/>
      <c r="E54" s="32"/>
      <c r="I54" s="34"/>
      <c r="J54" s="34"/>
      <c r="K54" s="34"/>
      <c r="L54" s="34"/>
      <c r="M54" s="34"/>
      <c r="N54" s="34"/>
      <c r="O54" s="34"/>
    </row>
    <row r="55" ht="15.75" customHeight="1">
      <c r="A55" s="32"/>
      <c r="B55" s="32"/>
      <c r="C55" s="32"/>
      <c r="D55" s="32"/>
      <c r="E55" s="32"/>
      <c r="I55" s="34"/>
      <c r="J55" s="34"/>
      <c r="K55" s="34"/>
      <c r="L55" s="34"/>
      <c r="M55" s="34"/>
      <c r="N55" s="34"/>
      <c r="O55" s="34"/>
    </row>
    <row r="56" ht="15.75" customHeight="1">
      <c r="A56" s="32"/>
      <c r="B56" s="32"/>
      <c r="C56" s="32"/>
      <c r="D56" s="32"/>
      <c r="E56" s="32"/>
      <c r="I56" s="34"/>
      <c r="J56" s="34"/>
      <c r="K56" s="34"/>
      <c r="L56" s="34"/>
      <c r="M56" s="34"/>
      <c r="N56" s="34"/>
      <c r="O56" s="34"/>
    </row>
    <row r="57" ht="15.75" customHeight="1">
      <c r="A57" s="32"/>
      <c r="B57" s="32"/>
      <c r="C57" s="32"/>
      <c r="D57" s="32"/>
      <c r="E57" s="32"/>
      <c r="I57" s="34"/>
      <c r="J57" s="34"/>
      <c r="K57" s="34"/>
      <c r="L57" s="34"/>
      <c r="M57" s="34"/>
      <c r="N57" s="34"/>
      <c r="O57" s="34"/>
    </row>
    <row r="58" ht="15.75" customHeight="1">
      <c r="A58" s="32"/>
      <c r="B58" s="32"/>
      <c r="C58" s="32"/>
      <c r="D58" s="32"/>
      <c r="E58" s="32"/>
      <c r="I58" s="34"/>
      <c r="J58" s="34"/>
      <c r="K58" s="34"/>
      <c r="L58" s="34"/>
      <c r="M58" s="34"/>
      <c r="N58" s="34"/>
      <c r="O58" s="34"/>
    </row>
    <row r="59" ht="15.75" customHeight="1">
      <c r="A59" s="32"/>
      <c r="B59" s="32"/>
      <c r="C59" s="32"/>
      <c r="D59" s="32"/>
      <c r="E59" s="32"/>
      <c r="I59" s="34"/>
      <c r="J59" s="34"/>
      <c r="K59" s="34"/>
      <c r="L59" s="34"/>
      <c r="M59" s="34"/>
      <c r="N59" s="34"/>
      <c r="O59" s="34"/>
    </row>
    <row r="60" ht="15.75" customHeight="1">
      <c r="A60" s="32"/>
      <c r="B60" s="32"/>
      <c r="C60" s="32"/>
      <c r="D60" s="32"/>
      <c r="E60" s="32"/>
      <c r="I60" s="34"/>
      <c r="J60" s="34"/>
      <c r="K60" s="34"/>
      <c r="L60" s="34"/>
      <c r="M60" s="34"/>
      <c r="N60" s="34"/>
      <c r="O60" s="34"/>
    </row>
    <row r="61" ht="15.75" customHeight="1">
      <c r="A61" s="32"/>
      <c r="B61" s="32"/>
      <c r="C61" s="32"/>
      <c r="D61" s="32"/>
      <c r="E61" s="32"/>
      <c r="I61" s="34"/>
      <c r="J61" s="34"/>
      <c r="K61" s="34"/>
      <c r="L61" s="34"/>
      <c r="M61" s="34"/>
      <c r="N61" s="34"/>
      <c r="O61" s="34"/>
    </row>
    <row r="62" ht="15.75" customHeight="1">
      <c r="A62" s="32"/>
      <c r="B62" s="32"/>
      <c r="C62" s="32"/>
      <c r="D62" s="32"/>
      <c r="E62" s="32"/>
      <c r="I62" s="34"/>
      <c r="J62" s="34"/>
      <c r="K62" s="34"/>
      <c r="L62" s="34"/>
      <c r="M62" s="34"/>
      <c r="N62" s="34"/>
      <c r="O62" s="34"/>
    </row>
    <row r="63" ht="15.75" customHeight="1">
      <c r="A63" s="32"/>
      <c r="B63" s="32"/>
      <c r="C63" s="32"/>
      <c r="D63" s="32"/>
      <c r="E63" s="32"/>
      <c r="I63" s="34"/>
      <c r="J63" s="34"/>
      <c r="K63" s="34"/>
      <c r="L63" s="34"/>
      <c r="M63" s="34"/>
      <c r="N63" s="34"/>
      <c r="O63" s="34"/>
    </row>
    <row r="64" ht="15.75" customHeight="1">
      <c r="A64" s="32"/>
      <c r="B64" s="32"/>
      <c r="C64" s="32"/>
      <c r="D64" s="32"/>
      <c r="E64" s="32"/>
      <c r="I64" s="34"/>
      <c r="J64" s="34"/>
      <c r="K64" s="34"/>
      <c r="L64" s="34"/>
      <c r="M64" s="34"/>
      <c r="N64" s="34"/>
      <c r="O64" s="34"/>
    </row>
    <row r="65" ht="15.75" customHeight="1">
      <c r="A65" s="32"/>
      <c r="B65" s="32"/>
      <c r="C65" s="32"/>
      <c r="D65" s="32"/>
      <c r="E65" s="32"/>
      <c r="I65" s="34"/>
      <c r="J65" s="34"/>
      <c r="K65" s="34"/>
      <c r="L65" s="34"/>
      <c r="M65" s="34"/>
      <c r="N65" s="34"/>
      <c r="O65" s="34"/>
    </row>
    <row r="66" ht="15.75" customHeight="1">
      <c r="A66" s="32"/>
      <c r="B66" s="32"/>
      <c r="C66" s="32"/>
      <c r="D66" s="32"/>
      <c r="E66" s="32"/>
      <c r="I66" s="34"/>
      <c r="J66" s="34"/>
      <c r="K66" s="34"/>
      <c r="L66" s="34"/>
      <c r="M66" s="34"/>
      <c r="N66" s="34"/>
      <c r="O66" s="34"/>
    </row>
    <row r="67" ht="15.75" customHeight="1">
      <c r="A67" s="32"/>
      <c r="B67" s="32"/>
      <c r="C67" s="32"/>
      <c r="D67" s="32"/>
      <c r="E67" s="32"/>
      <c r="I67" s="34"/>
      <c r="J67" s="34"/>
      <c r="K67" s="34"/>
      <c r="L67" s="34"/>
      <c r="M67" s="34"/>
      <c r="N67" s="34"/>
      <c r="O67" s="34"/>
    </row>
    <row r="68" ht="15.75" customHeight="1">
      <c r="A68" s="32"/>
      <c r="B68" s="32"/>
      <c r="C68" s="32"/>
      <c r="D68" s="32"/>
      <c r="E68" s="32"/>
      <c r="I68" s="34"/>
      <c r="J68" s="34"/>
      <c r="K68" s="34"/>
      <c r="L68" s="34"/>
      <c r="M68" s="34"/>
      <c r="N68" s="34"/>
      <c r="O68" s="34"/>
    </row>
    <row r="69" ht="15.75" customHeight="1">
      <c r="A69" s="32"/>
      <c r="B69" s="32"/>
      <c r="C69" s="32"/>
      <c r="D69" s="32"/>
      <c r="E69" s="32"/>
      <c r="I69" s="34"/>
      <c r="J69" s="34"/>
      <c r="K69" s="34"/>
      <c r="L69" s="34"/>
      <c r="M69" s="34"/>
      <c r="N69" s="34"/>
      <c r="O69" s="34"/>
    </row>
    <row r="70" ht="15.75" customHeight="1">
      <c r="A70" s="32"/>
      <c r="B70" s="32"/>
      <c r="C70" s="32"/>
      <c r="D70" s="32"/>
      <c r="E70" s="32"/>
      <c r="I70" s="34"/>
      <c r="J70" s="34"/>
      <c r="K70" s="34"/>
      <c r="L70" s="34"/>
      <c r="M70" s="34"/>
      <c r="N70" s="34"/>
      <c r="O70" s="34"/>
    </row>
    <row r="71" ht="15.75" customHeight="1">
      <c r="A71" s="32"/>
      <c r="B71" s="32"/>
      <c r="C71" s="32"/>
      <c r="D71" s="32"/>
      <c r="E71" s="32"/>
      <c r="I71" s="34"/>
      <c r="J71" s="34"/>
      <c r="K71" s="34"/>
      <c r="L71" s="34"/>
      <c r="M71" s="34"/>
      <c r="N71" s="34"/>
      <c r="O71" s="34"/>
    </row>
    <row r="72" ht="15.75" customHeight="1">
      <c r="A72" s="32"/>
      <c r="B72" s="32"/>
      <c r="C72" s="32"/>
      <c r="D72" s="32"/>
      <c r="E72" s="32"/>
      <c r="I72" s="34"/>
      <c r="J72" s="34"/>
      <c r="K72" s="34"/>
      <c r="L72" s="34"/>
      <c r="M72" s="34"/>
      <c r="N72" s="34"/>
      <c r="O72" s="34"/>
    </row>
    <row r="73" ht="15.75" customHeight="1">
      <c r="A73" s="32"/>
      <c r="B73" s="32"/>
      <c r="C73" s="32"/>
      <c r="D73" s="32"/>
      <c r="E73" s="32"/>
      <c r="I73" s="34"/>
      <c r="J73" s="34"/>
      <c r="K73" s="34"/>
      <c r="L73" s="34"/>
      <c r="M73" s="34"/>
      <c r="N73" s="34"/>
      <c r="O73" s="34"/>
    </row>
    <row r="74" ht="15.75" customHeight="1">
      <c r="A74" s="32"/>
      <c r="B74" s="32"/>
      <c r="C74" s="32"/>
      <c r="D74" s="32"/>
      <c r="E74" s="32"/>
      <c r="I74" s="34"/>
      <c r="J74" s="34"/>
      <c r="K74" s="34"/>
      <c r="L74" s="34"/>
      <c r="M74" s="34"/>
      <c r="N74" s="34"/>
      <c r="O74" s="34"/>
    </row>
    <row r="75" ht="15.75" customHeight="1">
      <c r="A75" s="32"/>
      <c r="B75" s="32"/>
      <c r="C75" s="32"/>
      <c r="D75" s="32"/>
      <c r="E75" s="32"/>
      <c r="I75" s="34"/>
      <c r="J75" s="34"/>
      <c r="K75" s="34"/>
      <c r="L75" s="34"/>
      <c r="M75" s="34"/>
      <c r="N75" s="34"/>
      <c r="O75" s="34"/>
    </row>
    <row r="76" ht="15.75" customHeight="1">
      <c r="A76" s="32"/>
      <c r="B76" s="32"/>
      <c r="C76" s="32"/>
      <c r="D76" s="32"/>
      <c r="E76" s="32"/>
      <c r="I76" s="34"/>
      <c r="J76" s="34"/>
      <c r="K76" s="34"/>
      <c r="L76" s="34"/>
      <c r="M76" s="34"/>
      <c r="N76" s="34"/>
      <c r="O76" s="34"/>
    </row>
    <row r="77" ht="15.75" customHeight="1">
      <c r="A77" s="32"/>
      <c r="B77" s="32"/>
      <c r="C77" s="32"/>
      <c r="D77" s="32"/>
      <c r="E77" s="32"/>
      <c r="I77" s="34"/>
      <c r="J77" s="34"/>
      <c r="K77" s="34"/>
      <c r="L77" s="34"/>
      <c r="M77" s="34"/>
      <c r="N77" s="34"/>
      <c r="O77" s="34"/>
    </row>
    <row r="78" ht="15.75" customHeight="1">
      <c r="A78" s="32"/>
      <c r="B78" s="32"/>
      <c r="C78" s="32"/>
      <c r="D78" s="32"/>
      <c r="E78" s="32"/>
      <c r="I78" s="34"/>
      <c r="J78" s="34"/>
      <c r="K78" s="34"/>
      <c r="L78" s="34"/>
      <c r="M78" s="34"/>
      <c r="N78" s="34"/>
      <c r="O78" s="34"/>
    </row>
    <row r="79" ht="15.75" customHeight="1">
      <c r="A79" s="32"/>
      <c r="B79" s="32"/>
      <c r="C79" s="32"/>
      <c r="D79" s="32"/>
      <c r="E79" s="32"/>
      <c r="I79" s="34"/>
      <c r="J79" s="34"/>
      <c r="K79" s="34"/>
      <c r="L79" s="34"/>
      <c r="M79" s="34"/>
      <c r="N79" s="34"/>
      <c r="O79" s="34"/>
    </row>
    <row r="80" ht="15.75" customHeight="1">
      <c r="A80" s="32"/>
      <c r="B80" s="32"/>
      <c r="C80" s="32"/>
      <c r="D80" s="32"/>
      <c r="E80" s="32"/>
      <c r="I80" s="34"/>
      <c r="J80" s="34"/>
      <c r="K80" s="34"/>
      <c r="L80" s="34"/>
      <c r="M80" s="34"/>
      <c r="N80" s="34"/>
      <c r="O80" s="34"/>
    </row>
    <row r="81" ht="15.75" customHeight="1">
      <c r="A81" s="32"/>
      <c r="B81" s="32"/>
      <c r="C81" s="32"/>
      <c r="D81" s="32"/>
      <c r="E81" s="32"/>
      <c r="I81" s="34"/>
      <c r="J81" s="34"/>
      <c r="K81" s="34"/>
      <c r="L81" s="34"/>
      <c r="M81" s="34"/>
      <c r="N81" s="34"/>
      <c r="O81" s="34"/>
    </row>
    <row r="82" ht="15.75" customHeight="1">
      <c r="A82" s="32"/>
      <c r="B82" s="32"/>
      <c r="C82" s="32"/>
      <c r="D82" s="32"/>
      <c r="E82" s="32"/>
      <c r="I82" s="34"/>
      <c r="J82" s="34"/>
      <c r="K82" s="34"/>
      <c r="L82" s="34"/>
      <c r="M82" s="34"/>
      <c r="N82" s="34"/>
      <c r="O82" s="34"/>
    </row>
    <row r="83" ht="15.75" customHeight="1">
      <c r="A83" s="32"/>
      <c r="B83" s="32"/>
      <c r="C83" s="32"/>
      <c r="D83" s="32"/>
      <c r="E83" s="32"/>
      <c r="I83" s="34"/>
      <c r="J83" s="34"/>
      <c r="K83" s="34"/>
      <c r="L83" s="34"/>
      <c r="M83" s="34"/>
      <c r="N83" s="34"/>
      <c r="O83" s="34"/>
    </row>
    <row r="84" ht="15.75" customHeight="1">
      <c r="A84" s="32"/>
      <c r="B84" s="32"/>
      <c r="C84" s="32"/>
      <c r="D84" s="32"/>
      <c r="E84" s="32"/>
      <c r="I84" s="34"/>
      <c r="J84" s="34"/>
      <c r="K84" s="34"/>
      <c r="L84" s="34"/>
      <c r="M84" s="34"/>
      <c r="N84" s="34"/>
      <c r="O84" s="34"/>
    </row>
    <row r="85" ht="15.75" customHeight="1">
      <c r="A85" s="32"/>
      <c r="B85" s="32"/>
      <c r="C85" s="32"/>
      <c r="D85" s="32"/>
      <c r="E85" s="32"/>
      <c r="I85" s="34"/>
      <c r="J85" s="34"/>
      <c r="K85" s="34"/>
      <c r="L85" s="34"/>
      <c r="M85" s="34"/>
      <c r="N85" s="34"/>
      <c r="O85" s="34"/>
    </row>
    <row r="86" ht="15.75" customHeight="1">
      <c r="A86" s="32"/>
      <c r="B86" s="32"/>
      <c r="C86" s="32"/>
      <c r="D86" s="32"/>
      <c r="E86" s="32"/>
      <c r="I86" s="34"/>
      <c r="J86" s="34"/>
      <c r="K86" s="34"/>
      <c r="L86" s="34"/>
      <c r="M86" s="34"/>
      <c r="N86" s="34"/>
      <c r="O86" s="34"/>
    </row>
    <row r="87" ht="15.75" customHeight="1">
      <c r="A87" s="32"/>
      <c r="B87" s="32"/>
      <c r="C87" s="32"/>
      <c r="D87" s="32"/>
      <c r="E87" s="32"/>
      <c r="I87" s="34"/>
      <c r="J87" s="34"/>
      <c r="K87" s="34"/>
      <c r="L87" s="34"/>
      <c r="M87" s="34"/>
      <c r="N87" s="34"/>
      <c r="O87" s="34"/>
    </row>
    <row r="88" ht="15.75" customHeight="1">
      <c r="A88" s="32"/>
      <c r="B88" s="32"/>
      <c r="C88" s="32"/>
      <c r="D88" s="32"/>
      <c r="E88" s="32"/>
      <c r="I88" s="34"/>
      <c r="J88" s="34"/>
      <c r="K88" s="34"/>
      <c r="L88" s="34"/>
      <c r="M88" s="34"/>
      <c r="N88" s="34"/>
      <c r="O88" s="34"/>
    </row>
    <row r="89" ht="15.75" customHeight="1">
      <c r="A89" s="32"/>
      <c r="B89" s="32"/>
      <c r="C89" s="32"/>
      <c r="D89" s="32"/>
      <c r="E89" s="32"/>
      <c r="I89" s="34"/>
      <c r="J89" s="34"/>
      <c r="K89" s="34"/>
      <c r="L89" s="34"/>
      <c r="M89" s="34"/>
      <c r="N89" s="34"/>
      <c r="O89" s="34"/>
    </row>
    <row r="90" ht="15.75" customHeight="1">
      <c r="A90" s="32"/>
      <c r="B90" s="32"/>
      <c r="C90" s="32"/>
      <c r="D90" s="32"/>
      <c r="E90" s="32"/>
      <c r="I90" s="34"/>
      <c r="J90" s="34"/>
      <c r="K90" s="34"/>
      <c r="L90" s="34"/>
      <c r="M90" s="34"/>
      <c r="N90" s="34"/>
      <c r="O90" s="34"/>
    </row>
    <row r="91" ht="15.75" customHeight="1">
      <c r="A91" s="32"/>
      <c r="B91" s="32"/>
      <c r="C91" s="32"/>
      <c r="D91" s="32"/>
      <c r="E91" s="32"/>
      <c r="I91" s="34"/>
      <c r="J91" s="34"/>
      <c r="K91" s="34"/>
      <c r="L91" s="34"/>
      <c r="M91" s="34"/>
      <c r="N91" s="34"/>
      <c r="O91" s="34"/>
    </row>
    <row r="92" ht="15.75" customHeight="1">
      <c r="A92" s="32"/>
      <c r="B92" s="32"/>
      <c r="C92" s="32"/>
      <c r="D92" s="32"/>
      <c r="E92" s="32"/>
      <c r="I92" s="34"/>
      <c r="J92" s="34"/>
      <c r="K92" s="34"/>
      <c r="L92" s="34"/>
      <c r="M92" s="34"/>
      <c r="N92" s="34"/>
      <c r="O92" s="34"/>
    </row>
    <row r="93" ht="15.75" customHeight="1">
      <c r="A93" s="32"/>
      <c r="B93" s="32"/>
      <c r="C93" s="32"/>
      <c r="D93" s="32"/>
      <c r="E93" s="32"/>
      <c r="I93" s="34"/>
      <c r="J93" s="34"/>
      <c r="K93" s="34"/>
      <c r="L93" s="34"/>
      <c r="M93" s="34"/>
      <c r="N93" s="34"/>
      <c r="O93" s="34"/>
    </row>
    <row r="94" ht="15.75" customHeight="1">
      <c r="A94" s="32"/>
      <c r="B94" s="32"/>
      <c r="C94" s="32"/>
      <c r="D94" s="32"/>
      <c r="E94" s="32"/>
      <c r="I94" s="34"/>
      <c r="J94" s="34"/>
      <c r="K94" s="34"/>
      <c r="L94" s="34"/>
      <c r="M94" s="34"/>
      <c r="N94" s="34"/>
      <c r="O94" s="34"/>
    </row>
    <row r="95" ht="15.75" customHeight="1">
      <c r="A95" s="32"/>
      <c r="B95" s="32"/>
      <c r="C95" s="32"/>
      <c r="D95" s="32"/>
      <c r="E95" s="32"/>
      <c r="I95" s="34"/>
      <c r="J95" s="34"/>
      <c r="K95" s="34"/>
      <c r="L95" s="34"/>
      <c r="M95" s="34"/>
      <c r="N95" s="34"/>
      <c r="O95" s="34"/>
    </row>
    <row r="96" ht="15.75" customHeight="1">
      <c r="A96" s="32"/>
      <c r="B96" s="32"/>
      <c r="C96" s="32"/>
      <c r="D96" s="32"/>
      <c r="E96" s="32"/>
      <c r="I96" s="34"/>
      <c r="J96" s="34"/>
      <c r="K96" s="34"/>
      <c r="L96" s="34"/>
      <c r="M96" s="34"/>
      <c r="N96" s="34"/>
      <c r="O96" s="34"/>
    </row>
    <row r="97" ht="15.75" customHeight="1">
      <c r="A97" s="32"/>
      <c r="B97" s="32"/>
      <c r="C97" s="32"/>
      <c r="D97" s="32"/>
      <c r="E97" s="32"/>
      <c r="I97" s="34"/>
      <c r="J97" s="34"/>
      <c r="K97" s="34"/>
      <c r="L97" s="34"/>
      <c r="M97" s="34"/>
      <c r="N97" s="34"/>
      <c r="O97" s="34"/>
    </row>
    <row r="98" ht="15.75" customHeight="1">
      <c r="A98" s="32"/>
      <c r="B98" s="32"/>
      <c r="C98" s="32"/>
      <c r="D98" s="32"/>
      <c r="E98" s="32"/>
      <c r="I98" s="34"/>
      <c r="J98" s="34"/>
      <c r="K98" s="34"/>
      <c r="L98" s="34"/>
      <c r="M98" s="34"/>
      <c r="N98" s="34"/>
      <c r="O98" s="34"/>
    </row>
    <row r="99" ht="15.75" customHeight="1">
      <c r="A99" s="32"/>
      <c r="B99" s="32"/>
      <c r="C99" s="32"/>
      <c r="D99" s="32"/>
      <c r="E99" s="32"/>
      <c r="I99" s="34"/>
      <c r="J99" s="34"/>
      <c r="K99" s="34"/>
      <c r="L99" s="34"/>
      <c r="M99" s="34"/>
      <c r="N99" s="34"/>
      <c r="O99" s="34"/>
    </row>
    <row r="100" ht="15.75" customHeight="1">
      <c r="A100" s="32"/>
      <c r="B100" s="32"/>
      <c r="C100" s="32"/>
      <c r="D100" s="32"/>
      <c r="E100" s="32"/>
      <c r="I100" s="34"/>
      <c r="J100" s="34"/>
      <c r="K100" s="34"/>
      <c r="L100" s="34"/>
      <c r="M100" s="34"/>
      <c r="N100" s="34"/>
      <c r="O100" s="34"/>
    </row>
    <row r="101" ht="15.75" customHeight="1">
      <c r="A101" s="32"/>
      <c r="B101" s="32"/>
      <c r="C101" s="32"/>
      <c r="D101" s="32"/>
      <c r="E101" s="32"/>
      <c r="I101" s="34"/>
      <c r="J101" s="34"/>
      <c r="K101" s="34"/>
      <c r="L101" s="34"/>
      <c r="M101" s="34"/>
      <c r="N101" s="34"/>
      <c r="O101" s="34"/>
    </row>
    <row r="102" ht="15.75" customHeight="1">
      <c r="A102" s="32"/>
      <c r="B102" s="32"/>
      <c r="C102" s="32"/>
      <c r="D102" s="32"/>
      <c r="E102" s="32"/>
      <c r="I102" s="34"/>
      <c r="J102" s="34"/>
      <c r="K102" s="34"/>
      <c r="L102" s="34"/>
      <c r="M102" s="34"/>
      <c r="N102" s="34"/>
      <c r="O102" s="34"/>
    </row>
    <row r="103" ht="15.75" customHeight="1">
      <c r="A103" s="32"/>
      <c r="B103" s="32"/>
      <c r="C103" s="32"/>
      <c r="D103" s="32"/>
      <c r="E103" s="32"/>
      <c r="I103" s="34"/>
      <c r="J103" s="34"/>
      <c r="K103" s="34"/>
      <c r="L103" s="34"/>
      <c r="M103" s="34"/>
      <c r="N103" s="34"/>
      <c r="O103" s="34"/>
    </row>
    <row r="104" ht="15.75" customHeight="1">
      <c r="A104" s="32"/>
      <c r="B104" s="32"/>
      <c r="C104" s="32"/>
      <c r="D104" s="32"/>
      <c r="E104" s="32"/>
      <c r="I104" s="34"/>
      <c r="J104" s="34"/>
      <c r="K104" s="34"/>
      <c r="L104" s="34"/>
      <c r="M104" s="34"/>
      <c r="N104" s="34"/>
      <c r="O104" s="34"/>
    </row>
    <row r="105" ht="15.75" customHeight="1">
      <c r="A105" s="32"/>
      <c r="B105" s="32"/>
      <c r="C105" s="32"/>
      <c r="D105" s="32"/>
      <c r="E105" s="32"/>
      <c r="I105" s="34"/>
      <c r="J105" s="34"/>
      <c r="K105" s="34"/>
      <c r="L105" s="34"/>
      <c r="M105" s="34"/>
      <c r="N105" s="34"/>
      <c r="O105" s="34"/>
    </row>
    <row r="106" ht="15.75" customHeight="1">
      <c r="A106" s="32"/>
      <c r="B106" s="32"/>
      <c r="C106" s="32"/>
      <c r="D106" s="32"/>
      <c r="E106" s="32"/>
      <c r="I106" s="34"/>
      <c r="J106" s="34"/>
      <c r="K106" s="34"/>
      <c r="L106" s="34"/>
      <c r="M106" s="34"/>
      <c r="N106" s="34"/>
      <c r="O106" s="34"/>
    </row>
    <row r="107" ht="15.75" customHeight="1">
      <c r="A107" s="32"/>
      <c r="B107" s="32"/>
      <c r="C107" s="32"/>
      <c r="D107" s="32"/>
      <c r="E107" s="32"/>
      <c r="I107" s="34"/>
      <c r="J107" s="34"/>
      <c r="K107" s="34"/>
      <c r="L107" s="34"/>
      <c r="M107" s="34"/>
      <c r="N107" s="34"/>
      <c r="O107" s="34"/>
    </row>
    <row r="108" ht="15.75" customHeight="1">
      <c r="A108" s="32"/>
      <c r="B108" s="32"/>
      <c r="C108" s="32"/>
      <c r="D108" s="32"/>
      <c r="E108" s="32"/>
      <c r="I108" s="34"/>
      <c r="J108" s="34"/>
      <c r="K108" s="34"/>
      <c r="L108" s="34"/>
      <c r="M108" s="34"/>
      <c r="N108" s="34"/>
      <c r="O108" s="34"/>
    </row>
    <row r="109" ht="15.75" customHeight="1">
      <c r="A109" s="32"/>
      <c r="B109" s="32"/>
      <c r="C109" s="32"/>
      <c r="D109" s="32"/>
      <c r="E109" s="32"/>
      <c r="I109" s="34"/>
      <c r="J109" s="34"/>
      <c r="K109" s="34"/>
      <c r="L109" s="34"/>
      <c r="M109" s="34"/>
      <c r="N109" s="34"/>
      <c r="O109" s="34"/>
    </row>
    <row r="110" ht="15.75" customHeight="1">
      <c r="A110" s="32"/>
      <c r="B110" s="32"/>
      <c r="C110" s="32"/>
      <c r="D110" s="32"/>
      <c r="E110" s="32"/>
      <c r="I110" s="34"/>
      <c r="J110" s="34"/>
      <c r="K110" s="34"/>
      <c r="L110" s="34"/>
      <c r="M110" s="34"/>
      <c r="N110" s="34"/>
      <c r="O110" s="34"/>
    </row>
    <row r="111" ht="15.75" customHeight="1">
      <c r="A111" s="32"/>
      <c r="B111" s="32"/>
      <c r="C111" s="32"/>
      <c r="D111" s="32"/>
      <c r="E111" s="32"/>
      <c r="I111" s="34"/>
      <c r="J111" s="34"/>
      <c r="K111" s="34"/>
      <c r="L111" s="34"/>
      <c r="M111" s="34"/>
      <c r="N111" s="34"/>
      <c r="O111" s="34"/>
    </row>
    <row r="112" ht="15.75" customHeight="1">
      <c r="A112" s="32"/>
      <c r="B112" s="32"/>
      <c r="C112" s="32"/>
      <c r="D112" s="32"/>
      <c r="E112" s="32"/>
      <c r="I112" s="34"/>
      <c r="J112" s="34"/>
      <c r="K112" s="34"/>
      <c r="L112" s="34"/>
      <c r="M112" s="34"/>
      <c r="N112" s="34"/>
      <c r="O112" s="34"/>
    </row>
    <row r="113" ht="15.75" customHeight="1">
      <c r="A113" s="32"/>
      <c r="B113" s="32"/>
      <c r="C113" s="32"/>
      <c r="D113" s="32"/>
      <c r="E113" s="32"/>
      <c r="I113" s="34"/>
      <c r="J113" s="34"/>
      <c r="K113" s="34"/>
      <c r="L113" s="34"/>
      <c r="M113" s="34"/>
      <c r="N113" s="34"/>
      <c r="O113" s="34"/>
    </row>
    <row r="114" ht="15.75" customHeight="1">
      <c r="A114" s="32"/>
      <c r="B114" s="32"/>
      <c r="C114" s="32"/>
      <c r="D114" s="32"/>
      <c r="E114" s="32"/>
      <c r="I114" s="34"/>
      <c r="J114" s="34"/>
      <c r="K114" s="34"/>
      <c r="L114" s="34"/>
      <c r="M114" s="34"/>
      <c r="N114" s="34"/>
      <c r="O114" s="34"/>
    </row>
    <row r="115" ht="15.75" customHeight="1">
      <c r="A115" s="32"/>
      <c r="B115" s="32"/>
      <c r="C115" s="32"/>
      <c r="D115" s="32"/>
      <c r="E115" s="32"/>
      <c r="I115" s="34"/>
      <c r="J115" s="34"/>
      <c r="K115" s="34"/>
      <c r="L115" s="34"/>
      <c r="M115" s="34"/>
      <c r="N115" s="34"/>
      <c r="O115" s="34"/>
    </row>
    <row r="116" ht="15.75" customHeight="1">
      <c r="A116" s="32"/>
      <c r="B116" s="32"/>
      <c r="C116" s="32"/>
      <c r="D116" s="32"/>
      <c r="E116" s="32"/>
      <c r="I116" s="34"/>
      <c r="J116" s="34"/>
      <c r="K116" s="34"/>
      <c r="L116" s="34"/>
      <c r="M116" s="34"/>
      <c r="N116" s="34"/>
      <c r="O116" s="34"/>
    </row>
    <row r="117" ht="15.75" customHeight="1">
      <c r="A117" s="32"/>
      <c r="B117" s="32"/>
      <c r="C117" s="32"/>
      <c r="D117" s="32"/>
      <c r="E117" s="32"/>
      <c r="I117" s="34"/>
      <c r="J117" s="34"/>
      <c r="K117" s="34"/>
      <c r="L117" s="34"/>
      <c r="M117" s="34"/>
      <c r="N117" s="34"/>
      <c r="O117" s="34"/>
    </row>
    <row r="118" ht="15.75" customHeight="1">
      <c r="A118" s="32"/>
      <c r="B118" s="32"/>
      <c r="C118" s="32"/>
      <c r="D118" s="32"/>
      <c r="E118" s="32"/>
      <c r="I118" s="34"/>
      <c r="J118" s="34"/>
      <c r="K118" s="34"/>
      <c r="L118" s="34"/>
      <c r="M118" s="34"/>
      <c r="N118" s="34"/>
      <c r="O118" s="34"/>
    </row>
    <row r="119" ht="15.75" customHeight="1">
      <c r="A119" s="32"/>
      <c r="B119" s="32"/>
      <c r="C119" s="32"/>
      <c r="D119" s="32"/>
      <c r="E119" s="32"/>
      <c r="I119" s="34"/>
      <c r="J119" s="34"/>
      <c r="K119" s="34"/>
      <c r="L119" s="34"/>
      <c r="M119" s="34"/>
      <c r="N119" s="34"/>
      <c r="O119" s="34"/>
    </row>
    <row r="120" ht="15.75" customHeight="1">
      <c r="A120" s="32"/>
      <c r="B120" s="32"/>
      <c r="C120" s="32"/>
      <c r="D120" s="32"/>
      <c r="E120" s="32"/>
      <c r="I120" s="34"/>
      <c r="J120" s="34"/>
      <c r="K120" s="34"/>
      <c r="L120" s="34"/>
      <c r="M120" s="34"/>
      <c r="N120" s="34"/>
      <c r="O120" s="34"/>
    </row>
    <row r="121" ht="15.75" customHeight="1">
      <c r="A121" s="32"/>
      <c r="B121" s="32"/>
      <c r="C121" s="32"/>
      <c r="D121" s="32"/>
      <c r="E121" s="32"/>
      <c r="I121" s="34"/>
      <c r="J121" s="34"/>
      <c r="K121" s="34"/>
      <c r="L121" s="34"/>
      <c r="M121" s="34"/>
      <c r="N121" s="34"/>
      <c r="O121" s="34"/>
    </row>
    <row r="122" ht="15.75" customHeight="1">
      <c r="A122" s="32"/>
      <c r="B122" s="32"/>
      <c r="C122" s="32"/>
      <c r="D122" s="32"/>
      <c r="E122" s="32"/>
      <c r="I122" s="34"/>
      <c r="J122" s="34"/>
      <c r="K122" s="34"/>
      <c r="L122" s="34"/>
      <c r="M122" s="34"/>
      <c r="N122" s="34"/>
      <c r="O122" s="34"/>
    </row>
    <row r="123" ht="15.75" customHeight="1">
      <c r="A123" s="32"/>
      <c r="B123" s="32"/>
      <c r="C123" s="32"/>
      <c r="D123" s="32"/>
      <c r="E123" s="32"/>
      <c r="I123" s="34"/>
      <c r="J123" s="34"/>
      <c r="K123" s="34"/>
      <c r="L123" s="34"/>
      <c r="M123" s="34"/>
      <c r="N123" s="34"/>
      <c r="O123" s="34"/>
    </row>
    <row r="124" ht="15.75" customHeight="1">
      <c r="A124" s="32"/>
      <c r="B124" s="32"/>
      <c r="C124" s="32"/>
      <c r="D124" s="32"/>
      <c r="E124" s="32"/>
      <c r="I124" s="34"/>
      <c r="J124" s="34"/>
      <c r="K124" s="34"/>
      <c r="L124" s="34"/>
      <c r="M124" s="34"/>
      <c r="N124" s="34"/>
      <c r="O124" s="34"/>
    </row>
    <row r="125" ht="15.75" customHeight="1">
      <c r="A125" s="32"/>
      <c r="B125" s="32"/>
      <c r="C125" s="32"/>
      <c r="D125" s="32"/>
      <c r="E125" s="32"/>
      <c r="I125" s="34"/>
      <c r="J125" s="34"/>
      <c r="K125" s="34"/>
      <c r="L125" s="34"/>
      <c r="M125" s="34"/>
      <c r="N125" s="34"/>
      <c r="O125" s="34"/>
    </row>
    <row r="126" ht="15.75" customHeight="1">
      <c r="A126" s="32"/>
      <c r="B126" s="32"/>
      <c r="C126" s="32"/>
      <c r="D126" s="32"/>
      <c r="E126" s="32"/>
      <c r="I126" s="34"/>
      <c r="J126" s="34"/>
      <c r="K126" s="34"/>
      <c r="L126" s="34"/>
      <c r="M126" s="34"/>
      <c r="N126" s="34"/>
      <c r="O126" s="34"/>
    </row>
    <row r="127" ht="15.75" customHeight="1">
      <c r="A127" s="32"/>
      <c r="B127" s="32"/>
      <c r="C127" s="32"/>
      <c r="D127" s="32"/>
      <c r="E127" s="32"/>
      <c r="I127" s="34"/>
      <c r="J127" s="34"/>
      <c r="K127" s="34"/>
      <c r="L127" s="34"/>
      <c r="M127" s="34"/>
      <c r="N127" s="34"/>
      <c r="O127" s="34"/>
    </row>
    <row r="128" ht="15.75" customHeight="1">
      <c r="A128" s="32"/>
      <c r="B128" s="32"/>
      <c r="C128" s="32"/>
      <c r="D128" s="32"/>
      <c r="E128" s="32"/>
      <c r="I128" s="34"/>
      <c r="J128" s="34"/>
      <c r="K128" s="34"/>
      <c r="L128" s="34"/>
      <c r="M128" s="34"/>
      <c r="N128" s="34"/>
      <c r="O128" s="34"/>
    </row>
    <row r="129" ht="15.75" customHeight="1">
      <c r="A129" s="32"/>
      <c r="B129" s="32"/>
      <c r="C129" s="32"/>
      <c r="D129" s="32"/>
      <c r="E129" s="32"/>
      <c r="I129" s="34"/>
      <c r="J129" s="34"/>
      <c r="K129" s="34"/>
      <c r="L129" s="34"/>
      <c r="M129" s="34"/>
      <c r="N129" s="34"/>
      <c r="O129" s="34"/>
    </row>
    <row r="130" ht="15.75" customHeight="1">
      <c r="A130" s="32"/>
      <c r="B130" s="32"/>
      <c r="C130" s="32"/>
      <c r="D130" s="32"/>
      <c r="E130" s="32"/>
      <c r="I130" s="34"/>
      <c r="J130" s="34"/>
      <c r="K130" s="34"/>
      <c r="L130" s="34"/>
      <c r="M130" s="34"/>
      <c r="N130" s="34"/>
      <c r="O130" s="34"/>
    </row>
    <row r="131" ht="15.75" customHeight="1">
      <c r="A131" s="32"/>
      <c r="B131" s="32"/>
      <c r="C131" s="32"/>
      <c r="D131" s="32"/>
      <c r="E131" s="32"/>
      <c r="I131" s="34"/>
      <c r="J131" s="34"/>
      <c r="K131" s="34"/>
      <c r="L131" s="34"/>
      <c r="M131" s="34"/>
      <c r="N131" s="34"/>
      <c r="O131" s="34"/>
    </row>
    <row r="132" ht="15.75" customHeight="1">
      <c r="A132" s="32"/>
      <c r="B132" s="32"/>
      <c r="C132" s="32"/>
      <c r="D132" s="32"/>
      <c r="E132" s="32"/>
      <c r="I132" s="34"/>
      <c r="J132" s="34"/>
      <c r="K132" s="34"/>
      <c r="L132" s="34"/>
      <c r="M132" s="34"/>
      <c r="N132" s="34"/>
      <c r="O132" s="34"/>
    </row>
    <row r="133" ht="15.75" customHeight="1">
      <c r="A133" s="32"/>
      <c r="B133" s="32"/>
      <c r="C133" s="32"/>
      <c r="D133" s="32"/>
      <c r="E133" s="32"/>
      <c r="I133" s="34"/>
      <c r="J133" s="34"/>
      <c r="K133" s="34"/>
      <c r="L133" s="34"/>
      <c r="M133" s="34"/>
      <c r="N133" s="34"/>
      <c r="O133" s="34"/>
    </row>
    <row r="134" ht="15.75" customHeight="1">
      <c r="A134" s="32"/>
      <c r="B134" s="32"/>
      <c r="C134" s="32"/>
      <c r="D134" s="32"/>
      <c r="E134" s="32"/>
      <c r="I134" s="34"/>
      <c r="J134" s="34"/>
      <c r="K134" s="34"/>
      <c r="L134" s="34"/>
      <c r="M134" s="34"/>
      <c r="N134" s="34"/>
      <c r="O134" s="34"/>
    </row>
    <row r="135" ht="15.75" customHeight="1">
      <c r="A135" s="32"/>
      <c r="B135" s="32"/>
      <c r="C135" s="32"/>
      <c r="D135" s="32"/>
      <c r="E135" s="32"/>
      <c r="I135" s="34"/>
      <c r="J135" s="34"/>
      <c r="K135" s="34"/>
      <c r="L135" s="34"/>
      <c r="M135" s="34"/>
      <c r="N135" s="34"/>
      <c r="O135" s="34"/>
    </row>
    <row r="136" ht="15.75" customHeight="1">
      <c r="A136" s="32"/>
      <c r="B136" s="32"/>
      <c r="C136" s="32"/>
      <c r="D136" s="32"/>
      <c r="E136" s="32"/>
      <c r="I136" s="34"/>
      <c r="J136" s="34"/>
      <c r="K136" s="34"/>
      <c r="L136" s="34"/>
      <c r="M136" s="34"/>
      <c r="N136" s="34"/>
      <c r="O136" s="34"/>
    </row>
    <row r="137" ht="15.75" customHeight="1">
      <c r="A137" s="32"/>
      <c r="B137" s="32"/>
      <c r="C137" s="32"/>
      <c r="D137" s="32"/>
      <c r="E137" s="32"/>
      <c r="I137" s="34"/>
      <c r="J137" s="34"/>
      <c r="K137" s="34"/>
      <c r="L137" s="34"/>
      <c r="M137" s="34"/>
      <c r="N137" s="34"/>
      <c r="O137" s="34"/>
    </row>
    <row r="138" ht="15.75" customHeight="1">
      <c r="A138" s="32"/>
      <c r="B138" s="32"/>
      <c r="C138" s="32"/>
      <c r="D138" s="32"/>
      <c r="E138" s="32"/>
      <c r="I138" s="34"/>
      <c r="J138" s="34"/>
      <c r="K138" s="34"/>
      <c r="L138" s="34"/>
      <c r="M138" s="34"/>
      <c r="N138" s="34"/>
      <c r="O138" s="34"/>
    </row>
    <row r="139" ht="15.75" customHeight="1">
      <c r="A139" s="32"/>
      <c r="B139" s="32"/>
      <c r="C139" s="32"/>
      <c r="D139" s="32"/>
      <c r="E139" s="32"/>
      <c r="I139" s="34"/>
      <c r="J139" s="34"/>
      <c r="K139" s="34"/>
      <c r="L139" s="34"/>
      <c r="M139" s="34"/>
      <c r="N139" s="34"/>
      <c r="O139" s="34"/>
    </row>
    <row r="140" ht="15.75" customHeight="1">
      <c r="A140" s="32"/>
      <c r="B140" s="32"/>
      <c r="C140" s="32"/>
      <c r="D140" s="32"/>
      <c r="E140" s="32"/>
      <c r="I140" s="34"/>
      <c r="J140" s="34"/>
      <c r="K140" s="34"/>
      <c r="L140" s="34"/>
      <c r="M140" s="34"/>
      <c r="N140" s="34"/>
      <c r="O140" s="34"/>
    </row>
    <row r="141" ht="15.75" customHeight="1">
      <c r="A141" s="32"/>
      <c r="B141" s="32"/>
      <c r="C141" s="32"/>
      <c r="D141" s="32"/>
      <c r="E141" s="32"/>
      <c r="I141" s="34"/>
      <c r="J141" s="34"/>
      <c r="K141" s="34"/>
      <c r="L141" s="34"/>
      <c r="M141" s="34"/>
      <c r="N141" s="34"/>
      <c r="O141" s="34"/>
    </row>
    <row r="142" ht="15.75" customHeight="1">
      <c r="A142" s="32"/>
      <c r="B142" s="32"/>
      <c r="C142" s="32"/>
      <c r="D142" s="32"/>
      <c r="E142" s="32"/>
      <c r="I142" s="34"/>
      <c r="J142" s="34"/>
      <c r="K142" s="34"/>
      <c r="L142" s="34"/>
      <c r="M142" s="34"/>
      <c r="N142" s="34"/>
      <c r="O142" s="34"/>
    </row>
    <row r="143" ht="15.75" customHeight="1">
      <c r="A143" s="32"/>
      <c r="B143" s="32"/>
      <c r="C143" s="32"/>
      <c r="D143" s="32"/>
      <c r="E143" s="32"/>
      <c r="I143" s="34"/>
      <c r="J143" s="34"/>
      <c r="K143" s="34"/>
      <c r="L143" s="34"/>
      <c r="M143" s="34"/>
      <c r="N143" s="34"/>
      <c r="O143" s="34"/>
    </row>
    <row r="144" ht="15.75" customHeight="1">
      <c r="A144" s="32"/>
      <c r="B144" s="32"/>
      <c r="C144" s="32"/>
      <c r="D144" s="32"/>
      <c r="E144" s="32"/>
      <c r="I144" s="34"/>
      <c r="J144" s="34"/>
      <c r="K144" s="34"/>
      <c r="L144" s="34"/>
      <c r="M144" s="34"/>
      <c r="N144" s="34"/>
      <c r="O144" s="34"/>
    </row>
    <row r="145" ht="15.75" customHeight="1">
      <c r="A145" s="32"/>
      <c r="B145" s="32"/>
      <c r="C145" s="32"/>
      <c r="D145" s="32"/>
      <c r="E145" s="32"/>
      <c r="I145" s="34"/>
      <c r="J145" s="34"/>
      <c r="K145" s="34"/>
      <c r="L145" s="34"/>
      <c r="M145" s="34"/>
      <c r="N145" s="34"/>
      <c r="O145" s="34"/>
    </row>
    <row r="146" ht="15.75" customHeight="1">
      <c r="A146" s="32"/>
      <c r="B146" s="32"/>
      <c r="C146" s="32"/>
      <c r="D146" s="32"/>
      <c r="E146" s="32"/>
      <c r="I146" s="34"/>
      <c r="J146" s="34"/>
      <c r="K146" s="34"/>
      <c r="L146" s="34"/>
      <c r="M146" s="34"/>
      <c r="N146" s="34"/>
      <c r="O146" s="34"/>
    </row>
    <row r="147" ht="15.75" customHeight="1">
      <c r="A147" s="32"/>
      <c r="B147" s="32"/>
      <c r="C147" s="32"/>
      <c r="D147" s="32"/>
      <c r="E147" s="32"/>
      <c r="I147" s="34"/>
      <c r="J147" s="34"/>
      <c r="K147" s="34"/>
      <c r="L147" s="34"/>
      <c r="M147" s="34"/>
      <c r="N147" s="34"/>
      <c r="O147" s="34"/>
    </row>
    <row r="148" ht="15.75" customHeight="1">
      <c r="A148" s="32"/>
      <c r="B148" s="32"/>
      <c r="C148" s="32"/>
      <c r="D148" s="32"/>
      <c r="E148" s="32"/>
      <c r="I148" s="34"/>
      <c r="J148" s="34"/>
      <c r="K148" s="34"/>
      <c r="L148" s="34"/>
      <c r="M148" s="34"/>
      <c r="N148" s="34"/>
      <c r="O148" s="34"/>
    </row>
    <row r="149" ht="15.75" customHeight="1">
      <c r="A149" s="32"/>
      <c r="B149" s="32"/>
      <c r="C149" s="32"/>
      <c r="D149" s="32"/>
      <c r="E149" s="32"/>
      <c r="I149" s="34"/>
      <c r="J149" s="34"/>
      <c r="K149" s="34"/>
      <c r="L149" s="34"/>
      <c r="M149" s="34"/>
      <c r="N149" s="34"/>
      <c r="O149" s="34"/>
    </row>
    <row r="150" ht="15.75" customHeight="1">
      <c r="A150" s="32"/>
      <c r="B150" s="32"/>
      <c r="C150" s="32"/>
      <c r="D150" s="32"/>
      <c r="E150" s="32"/>
      <c r="I150" s="34"/>
      <c r="J150" s="34"/>
      <c r="K150" s="34"/>
      <c r="L150" s="34"/>
      <c r="M150" s="34"/>
      <c r="N150" s="34"/>
      <c r="O150" s="34"/>
    </row>
    <row r="151" ht="15.75" customHeight="1">
      <c r="A151" s="32"/>
      <c r="B151" s="32"/>
      <c r="C151" s="32"/>
      <c r="D151" s="32"/>
      <c r="E151" s="32"/>
      <c r="I151" s="34"/>
      <c r="J151" s="34"/>
      <c r="K151" s="34"/>
      <c r="L151" s="34"/>
      <c r="M151" s="34"/>
      <c r="N151" s="34"/>
      <c r="O151" s="34"/>
    </row>
    <row r="152" ht="15.75" customHeight="1">
      <c r="A152" s="32"/>
      <c r="B152" s="32"/>
      <c r="C152" s="32"/>
      <c r="D152" s="32"/>
      <c r="E152" s="32"/>
      <c r="I152" s="34"/>
      <c r="J152" s="34"/>
      <c r="K152" s="34"/>
      <c r="L152" s="34"/>
      <c r="M152" s="34"/>
      <c r="N152" s="34"/>
      <c r="O152" s="34"/>
    </row>
    <row r="153" ht="15.75" customHeight="1">
      <c r="A153" s="32"/>
      <c r="B153" s="32"/>
      <c r="C153" s="32"/>
      <c r="D153" s="32"/>
      <c r="E153" s="32"/>
      <c r="I153" s="34"/>
      <c r="J153" s="34"/>
      <c r="K153" s="34"/>
      <c r="L153" s="34"/>
      <c r="M153" s="34"/>
      <c r="N153" s="34"/>
      <c r="O153" s="34"/>
    </row>
    <row r="154" ht="15.75" customHeight="1">
      <c r="A154" s="32"/>
      <c r="B154" s="32"/>
      <c r="C154" s="32"/>
      <c r="D154" s="32"/>
      <c r="E154" s="32"/>
      <c r="I154" s="34"/>
      <c r="J154" s="34"/>
      <c r="K154" s="34"/>
      <c r="L154" s="34"/>
      <c r="M154" s="34"/>
      <c r="N154" s="34"/>
      <c r="O154" s="34"/>
    </row>
    <row r="155" ht="15.75" customHeight="1">
      <c r="A155" s="32"/>
      <c r="B155" s="32"/>
      <c r="C155" s="32"/>
      <c r="D155" s="32"/>
      <c r="E155" s="32"/>
      <c r="I155" s="34"/>
      <c r="J155" s="34"/>
      <c r="K155" s="34"/>
      <c r="L155" s="34"/>
      <c r="M155" s="34"/>
      <c r="N155" s="34"/>
      <c r="O155" s="34"/>
    </row>
    <row r="156" ht="15.75" customHeight="1">
      <c r="A156" s="32"/>
      <c r="B156" s="32"/>
      <c r="C156" s="32"/>
      <c r="D156" s="32"/>
      <c r="E156" s="32"/>
      <c r="I156" s="34"/>
      <c r="J156" s="34"/>
      <c r="K156" s="34"/>
      <c r="L156" s="34"/>
      <c r="M156" s="34"/>
      <c r="N156" s="34"/>
      <c r="O156" s="34"/>
    </row>
    <row r="157" ht="15.75" customHeight="1">
      <c r="A157" s="32"/>
      <c r="B157" s="32"/>
      <c r="C157" s="32"/>
      <c r="D157" s="32"/>
      <c r="E157" s="32"/>
      <c r="I157" s="34"/>
      <c r="J157" s="34"/>
      <c r="K157" s="34"/>
      <c r="L157" s="34"/>
      <c r="M157" s="34"/>
      <c r="N157" s="34"/>
      <c r="O157" s="34"/>
    </row>
    <row r="158" ht="15.75" customHeight="1">
      <c r="A158" s="32"/>
      <c r="B158" s="32"/>
      <c r="C158" s="32"/>
      <c r="D158" s="32"/>
      <c r="E158" s="32"/>
      <c r="I158" s="34"/>
      <c r="J158" s="34"/>
      <c r="K158" s="34"/>
      <c r="L158" s="34"/>
      <c r="M158" s="34"/>
      <c r="N158" s="34"/>
      <c r="O158" s="34"/>
    </row>
    <row r="159" ht="15.75" customHeight="1">
      <c r="A159" s="32"/>
      <c r="B159" s="32"/>
      <c r="C159" s="32"/>
      <c r="D159" s="32"/>
      <c r="E159" s="32"/>
      <c r="I159" s="34"/>
      <c r="J159" s="34"/>
      <c r="K159" s="34"/>
      <c r="L159" s="34"/>
      <c r="M159" s="34"/>
      <c r="N159" s="34"/>
      <c r="O159" s="34"/>
    </row>
    <row r="160" ht="15.75" customHeight="1">
      <c r="A160" s="32"/>
      <c r="B160" s="32"/>
      <c r="C160" s="32"/>
      <c r="D160" s="32"/>
      <c r="E160" s="32"/>
      <c r="I160" s="34"/>
      <c r="J160" s="34"/>
      <c r="K160" s="34"/>
      <c r="L160" s="34"/>
      <c r="M160" s="34"/>
      <c r="N160" s="34"/>
      <c r="O160" s="34"/>
    </row>
    <row r="161" ht="15.75" customHeight="1">
      <c r="A161" s="32"/>
      <c r="B161" s="32"/>
      <c r="C161" s="32"/>
      <c r="D161" s="32"/>
      <c r="E161" s="32"/>
      <c r="I161" s="34"/>
      <c r="J161" s="34"/>
      <c r="K161" s="34"/>
      <c r="L161" s="34"/>
      <c r="M161" s="34"/>
      <c r="N161" s="34"/>
      <c r="O161" s="34"/>
    </row>
    <row r="162" ht="15.75" customHeight="1">
      <c r="A162" s="32"/>
      <c r="B162" s="32"/>
      <c r="C162" s="32"/>
      <c r="D162" s="32"/>
      <c r="E162" s="32"/>
      <c r="I162" s="34"/>
      <c r="J162" s="34"/>
      <c r="K162" s="34"/>
      <c r="L162" s="34"/>
      <c r="M162" s="34"/>
      <c r="N162" s="34"/>
      <c r="O162" s="34"/>
    </row>
    <row r="163" ht="15.75" customHeight="1">
      <c r="A163" s="32"/>
      <c r="B163" s="32"/>
      <c r="C163" s="32"/>
      <c r="D163" s="32"/>
      <c r="E163" s="32"/>
      <c r="I163" s="34"/>
      <c r="J163" s="34"/>
      <c r="K163" s="34"/>
      <c r="L163" s="34"/>
      <c r="M163" s="34"/>
      <c r="N163" s="34"/>
      <c r="O163" s="34"/>
    </row>
    <row r="164" ht="15.75" customHeight="1">
      <c r="A164" s="32"/>
      <c r="B164" s="32"/>
      <c r="C164" s="32"/>
      <c r="D164" s="32"/>
      <c r="E164" s="32"/>
      <c r="I164" s="34"/>
      <c r="J164" s="34"/>
      <c r="K164" s="34"/>
      <c r="L164" s="34"/>
      <c r="M164" s="34"/>
      <c r="N164" s="34"/>
      <c r="O164" s="34"/>
    </row>
    <row r="165" ht="15.75" customHeight="1">
      <c r="A165" s="32"/>
      <c r="B165" s="32"/>
      <c r="C165" s="32"/>
      <c r="D165" s="32"/>
      <c r="E165" s="32"/>
      <c r="I165" s="34"/>
      <c r="J165" s="34"/>
      <c r="K165" s="34"/>
      <c r="L165" s="34"/>
      <c r="M165" s="34"/>
      <c r="N165" s="34"/>
      <c r="O165" s="34"/>
    </row>
    <row r="166" ht="15.75" customHeight="1">
      <c r="A166" s="32"/>
      <c r="B166" s="32"/>
      <c r="C166" s="32"/>
      <c r="D166" s="32"/>
      <c r="E166" s="32"/>
      <c r="I166" s="34"/>
      <c r="J166" s="34"/>
      <c r="K166" s="34"/>
      <c r="L166" s="34"/>
      <c r="M166" s="34"/>
      <c r="N166" s="34"/>
      <c r="O166" s="34"/>
    </row>
    <row r="167" ht="15.75" customHeight="1">
      <c r="A167" s="32"/>
      <c r="B167" s="32"/>
      <c r="C167" s="32"/>
      <c r="D167" s="32"/>
      <c r="E167" s="32"/>
      <c r="I167" s="34"/>
      <c r="J167" s="34"/>
      <c r="K167" s="34"/>
      <c r="L167" s="34"/>
      <c r="M167" s="34"/>
      <c r="N167" s="34"/>
      <c r="O167" s="34"/>
    </row>
    <row r="168" ht="15.75" customHeight="1">
      <c r="A168" s="32"/>
      <c r="B168" s="32"/>
      <c r="C168" s="32"/>
      <c r="D168" s="32"/>
      <c r="E168" s="32"/>
      <c r="I168" s="34"/>
      <c r="J168" s="34"/>
      <c r="K168" s="34"/>
      <c r="L168" s="34"/>
      <c r="M168" s="34"/>
      <c r="N168" s="34"/>
      <c r="O168" s="34"/>
    </row>
    <row r="169" ht="15.75" customHeight="1">
      <c r="A169" s="32"/>
      <c r="B169" s="32"/>
      <c r="C169" s="32"/>
      <c r="D169" s="32"/>
      <c r="E169" s="32"/>
      <c r="I169" s="34"/>
      <c r="J169" s="34"/>
      <c r="K169" s="34"/>
      <c r="L169" s="34"/>
      <c r="M169" s="34"/>
      <c r="N169" s="34"/>
      <c r="O169" s="34"/>
    </row>
    <row r="170" ht="15.75" customHeight="1">
      <c r="A170" s="32"/>
      <c r="B170" s="32"/>
      <c r="C170" s="32"/>
      <c r="D170" s="32"/>
      <c r="E170" s="32"/>
      <c r="I170" s="34"/>
      <c r="J170" s="34"/>
      <c r="K170" s="34"/>
      <c r="L170" s="34"/>
      <c r="M170" s="34"/>
      <c r="N170" s="34"/>
      <c r="O170" s="34"/>
    </row>
    <row r="171" ht="15.75" customHeight="1">
      <c r="A171" s="32"/>
      <c r="B171" s="32"/>
      <c r="C171" s="32"/>
      <c r="D171" s="32"/>
      <c r="E171" s="32"/>
      <c r="I171" s="34"/>
      <c r="J171" s="34"/>
      <c r="K171" s="34"/>
      <c r="L171" s="34"/>
      <c r="M171" s="34"/>
      <c r="N171" s="34"/>
      <c r="O171" s="34"/>
    </row>
    <row r="172" ht="15.75" customHeight="1">
      <c r="A172" s="32"/>
      <c r="B172" s="32"/>
      <c r="C172" s="32"/>
      <c r="D172" s="32"/>
      <c r="E172" s="32"/>
      <c r="I172" s="34"/>
      <c r="J172" s="34"/>
      <c r="K172" s="34"/>
      <c r="L172" s="34"/>
      <c r="M172" s="34"/>
      <c r="N172" s="34"/>
      <c r="O172" s="34"/>
    </row>
    <row r="173" ht="15.75" customHeight="1">
      <c r="A173" s="32"/>
      <c r="B173" s="32"/>
      <c r="C173" s="32"/>
      <c r="D173" s="32"/>
      <c r="E173" s="32"/>
      <c r="I173" s="34"/>
      <c r="J173" s="34"/>
      <c r="K173" s="34"/>
      <c r="L173" s="34"/>
      <c r="M173" s="34"/>
      <c r="N173" s="34"/>
      <c r="O173" s="34"/>
    </row>
    <row r="174" ht="15.75" customHeight="1">
      <c r="A174" s="32"/>
      <c r="B174" s="32"/>
      <c r="C174" s="32"/>
      <c r="D174" s="32"/>
      <c r="E174" s="32"/>
      <c r="I174" s="34"/>
      <c r="J174" s="34"/>
      <c r="K174" s="34"/>
      <c r="L174" s="34"/>
      <c r="M174" s="34"/>
      <c r="N174" s="34"/>
      <c r="O174" s="34"/>
    </row>
    <row r="175" ht="15.75" customHeight="1">
      <c r="A175" s="32"/>
      <c r="B175" s="32"/>
      <c r="C175" s="32"/>
      <c r="D175" s="32"/>
      <c r="E175" s="32"/>
      <c r="I175" s="34"/>
      <c r="J175" s="34"/>
      <c r="K175" s="34"/>
      <c r="L175" s="34"/>
      <c r="M175" s="34"/>
      <c r="N175" s="34"/>
      <c r="O175" s="34"/>
    </row>
    <row r="176" ht="15.75" customHeight="1">
      <c r="A176" s="32"/>
      <c r="B176" s="32"/>
      <c r="C176" s="32"/>
      <c r="D176" s="32"/>
      <c r="E176" s="32"/>
      <c r="I176" s="34"/>
      <c r="J176" s="34"/>
      <c r="K176" s="34"/>
      <c r="L176" s="34"/>
      <c r="M176" s="34"/>
      <c r="N176" s="34"/>
      <c r="O176" s="34"/>
    </row>
    <row r="177" ht="15.75" customHeight="1">
      <c r="A177" s="32"/>
      <c r="B177" s="32"/>
      <c r="C177" s="32"/>
      <c r="D177" s="32"/>
      <c r="E177" s="32"/>
      <c r="I177" s="34"/>
      <c r="J177" s="34"/>
      <c r="K177" s="34"/>
      <c r="L177" s="34"/>
      <c r="M177" s="34"/>
      <c r="N177" s="34"/>
      <c r="O177" s="34"/>
    </row>
    <row r="178" ht="15.75" customHeight="1">
      <c r="A178" s="32"/>
      <c r="B178" s="32"/>
      <c r="C178" s="32"/>
      <c r="D178" s="32"/>
      <c r="E178" s="32"/>
      <c r="I178" s="34"/>
      <c r="J178" s="34"/>
      <c r="K178" s="34"/>
      <c r="L178" s="34"/>
      <c r="M178" s="34"/>
      <c r="N178" s="34"/>
      <c r="O178" s="34"/>
    </row>
    <row r="179" ht="15.75" customHeight="1">
      <c r="A179" s="32"/>
      <c r="B179" s="32"/>
      <c r="C179" s="32"/>
      <c r="D179" s="32"/>
      <c r="E179" s="32"/>
      <c r="I179" s="34"/>
      <c r="J179" s="34"/>
      <c r="K179" s="34"/>
      <c r="L179" s="34"/>
      <c r="M179" s="34"/>
      <c r="N179" s="34"/>
      <c r="O179" s="34"/>
    </row>
    <row r="180" ht="15.75" customHeight="1">
      <c r="A180" s="32"/>
      <c r="B180" s="32"/>
      <c r="C180" s="32"/>
      <c r="D180" s="32"/>
      <c r="E180" s="32"/>
      <c r="I180" s="34"/>
      <c r="J180" s="34"/>
      <c r="K180" s="34"/>
      <c r="L180" s="34"/>
      <c r="M180" s="34"/>
      <c r="N180" s="34"/>
      <c r="O180" s="34"/>
    </row>
    <row r="181" ht="15.75" customHeight="1">
      <c r="A181" s="32"/>
      <c r="B181" s="32"/>
      <c r="C181" s="32"/>
      <c r="D181" s="32"/>
      <c r="E181" s="32"/>
      <c r="I181" s="34"/>
      <c r="J181" s="34"/>
      <c r="K181" s="34"/>
      <c r="L181" s="34"/>
      <c r="M181" s="34"/>
      <c r="N181" s="34"/>
      <c r="O181" s="34"/>
    </row>
    <row r="182" ht="15.75" customHeight="1">
      <c r="A182" s="32"/>
      <c r="B182" s="32"/>
      <c r="C182" s="32"/>
      <c r="D182" s="32"/>
      <c r="E182" s="32"/>
      <c r="I182" s="34"/>
      <c r="J182" s="34"/>
      <c r="K182" s="34"/>
      <c r="L182" s="34"/>
      <c r="M182" s="34"/>
      <c r="N182" s="34"/>
      <c r="O182" s="34"/>
    </row>
    <row r="183" ht="15.75" customHeight="1">
      <c r="A183" s="32"/>
      <c r="B183" s="32"/>
      <c r="C183" s="32"/>
      <c r="D183" s="32"/>
      <c r="E183" s="32"/>
      <c r="I183" s="34"/>
      <c r="J183" s="34"/>
      <c r="K183" s="34"/>
      <c r="L183" s="34"/>
      <c r="M183" s="34"/>
      <c r="N183" s="34"/>
      <c r="O183" s="34"/>
    </row>
    <row r="184" ht="15.75" customHeight="1">
      <c r="A184" s="32"/>
      <c r="B184" s="32"/>
      <c r="C184" s="32"/>
      <c r="D184" s="32"/>
      <c r="E184" s="32"/>
      <c r="I184" s="34"/>
      <c r="J184" s="34"/>
      <c r="K184" s="34"/>
      <c r="L184" s="34"/>
      <c r="M184" s="34"/>
      <c r="N184" s="34"/>
      <c r="O184" s="34"/>
    </row>
    <row r="185" ht="15.75" customHeight="1">
      <c r="A185" s="32"/>
      <c r="B185" s="32"/>
      <c r="C185" s="32"/>
      <c r="D185" s="32"/>
      <c r="E185" s="32"/>
      <c r="I185" s="34"/>
      <c r="J185" s="34"/>
      <c r="K185" s="34"/>
      <c r="L185" s="34"/>
      <c r="M185" s="34"/>
      <c r="N185" s="34"/>
      <c r="O185" s="34"/>
    </row>
    <row r="186" ht="15.75" customHeight="1">
      <c r="A186" s="32"/>
      <c r="B186" s="32"/>
      <c r="C186" s="32"/>
      <c r="D186" s="32"/>
      <c r="E186" s="32"/>
      <c r="I186" s="34"/>
      <c r="J186" s="34"/>
      <c r="K186" s="34"/>
      <c r="L186" s="34"/>
      <c r="M186" s="34"/>
      <c r="N186" s="34"/>
      <c r="O186" s="34"/>
    </row>
    <row r="187" ht="15.75" customHeight="1">
      <c r="A187" s="32"/>
      <c r="B187" s="32"/>
      <c r="C187" s="32"/>
      <c r="D187" s="32"/>
      <c r="E187" s="32"/>
      <c r="I187" s="34"/>
      <c r="J187" s="34"/>
      <c r="K187" s="34"/>
      <c r="L187" s="34"/>
      <c r="M187" s="34"/>
      <c r="N187" s="34"/>
      <c r="O187" s="34"/>
    </row>
    <row r="188" ht="15.75" customHeight="1">
      <c r="A188" s="32"/>
      <c r="B188" s="32"/>
      <c r="C188" s="32"/>
      <c r="D188" s="32"/>
      <c r="E188" s="32"/>
      <c r="I188" s="34"/>
      <c r="J188" s="34"/>
      <c r="K188" s="34"/>
      <c r="L188" s="34"/>
      <c r="M188" s="34"/>
      <c r="N188" s="34"/>
      <c r="O188" s="34"/>
    </row>
    <row r="189" ht="15.75" customHeight="1">
      <c r="A189" s="32"/>
      <c r="B189" s="32"/>
      <c r="C189" s="32"/>
      <c r="D189" s="32"/>
      <c r="E189" s="32"/>
      <c r="I189" s="34"/>
      <c r="J189" s="34"/>
      <c r="K189" s="34"/>
      <c r="L189" s="34"/>
      <c r="M189" s="34"/>
      <c r="N189" s="34"/>
      <c r="O189" s="34"/>
    </row>
    <row r="190" ht="15.75" customHeight="1">
      <c r="A190" s="32"/>
      <c r="B190" s="32"/>
      <c r="C190" s="32"/>
      <c r="D190" s="32"/>
      <c r="E190" s="32"/>
      <c r="I190" s="34"/>
      <c r="J190" s="34"/>
      <c r="K190" s="34"/>
      <c r="L190" s="34"/>
      <c r="M190" s="34"/>
      <c r="N190" s="34"/>
      <c r="O190" s="34"/>
    </row>
    <row r="191" ht="15.75" customHeight="1">
      <c r="A191" s="32"/>
      <c r="B191" s="32"/>
      <c r="C191" s="32"/>
      <c r="D191" s="32"/>
      <c r="E191" s="32"/>
      <c r="I191" s="34"/>
      <c r="J191" s="34"/>
      <c r="K191" s="34"/>
      <c r="L191" s="34"/>
      <c r="M191" s="34"/>
      <c r="N191" s="34"/>
      <c r="O191" s="34"/>
    </row>
    <row r="192" ht="15.75" customHeight="1">
      <c r="A192" s="32"/>
      <c r="B192" s="32"/>
      <c r="C192" s="32"/>
      <c r="D192" s="32"/>
      <c r="E192" s="32"/>
      <c r="I192" s="34"/>
      <c r="J192" s="34"/>
      <c r="K192" s="34"/>
      <c r="L192" s="34"/>
      <c r="M192" s="34"/>
      <c r="N192" s="34"/>
      <c r="O192" s="34"/>
    </row>
    <row r="193" ht="15.75" customHeight="1">
      <c r="A193" s="32"/>
      <c r="B193" s="32"/>
      <c r="C193" s="32"/>
      <c r="D193" s="32"/>
      <c r="E193" s="32"/>
      <c r="I193" s="34"/>
      <c r="J193" s="34"/>
      <c r="K193" s="34"/>
      <c r="L193" s="34"/>
      <c r="M193" s="34"/>
      <c r="N193" s="34"/>
      <c r="O193" s="34"/>
    </row>
    <row r="194" ht="15.75" customHeight="1">
      <c r="A194" s="32"/>
      <c r="B194" s="32"/>
      <c r="C194" s="32"/>
      <c r="D194" s="32"/>
      <c r="E194" s="32"/>
      <c r="I194" s="34"/>
      <c r="J194" s="34"/>
      <c r="K194" s="34"/>
      <c r="L194" s="34"/>
      <c r="M194" s="34"/>
      <c r="N194" s="34"/>
      <c r="O194" s="34"/>
    </row>
    <row r="195" ht="15.75" customHeight="1">
      <c r="A195" s="32"/>
      <c r="B195" s="32"/>
      <c r="C195" s="32"/>
      <c r="D195" s="32"/>
      <c r="E195" s="32"/>
      <c r="I195" s="34"/>
      <c r="J195" s="34"/>
      <c r="K195" s="34"/>
      <c r="L195" s="34"/>
      <c r="M195" s="34"/>
      <c r="N195" s="34"/>
      <c r="O195" s="34"/>
    </row>
    <row r="196" ht="15.75" customHeight="1">
      <c r="A196" s="32"/>
      <c r="B196" s="32"/>
      <c r="C196" s="32"/>
      <c r="D196" s="32"/>
      <c r="E196" s="32"/>
      <c r="I196" s="34"/>
      <c r="J196" s="34"/>
      <c r="K196" s="34"/>
      <c r="L196" s="34"/>
      <c r="M196" s="34"/>
      <c r="N196" s="34"/>
      <c r="O196" s="34"/>
    </row>
    <row r="197" ht="15.75" customHeight="1">
      <c r="A197" s="32"/>
      <c r="B197" s="32"/>
      <c r="C197" s="32"/>
      <c r="D197" s="32"/>
      <c r="E197" s="32"/>
      <c r="I197" s="34"/>
      <c r="J197" s="34"/>
      <c r="K197" s="34"/>
      <c r="L197" s="34"/>
      <c r="M197" s="34"/>
      <c r="N197" s="34"/>
      <c r="O197" s="34"/>
    </row>
    <row r="198" ht="15.75" customHeight="1">
      <c r="A198" s="32"/>
      <c r="B198" s="32"/>
      <c r="C198" s="32"/>
      <c r="D198" s="32"/>
      <c r="E198" s="32"/>
      <c r="I198" s="34"/>
      <c r="J198" s="34"/>
      <c r="K198" s="34"/>
      <c r="L198" s="34"/>
      <c r="M198" s="34"/>
      <c r="N198" s="34"/>
      <c r="O198" s="34"/>
    </row>
    <row r="199" ht="15.75" customHeight="1">
      <c r="A199" s="32"/>
      <c r="B199" s="32"/>
      <c r="C199" s="32"/>
      <c r="D199" s="32"/>
      <c r="E199" s="32"/>
      <c r="I199" s="34"/>
      <c r="J199" s="34"/>
      <c r="K199" s="34"/>
      <c r="L199" s="34"/>
      <c r="M199" s="34"/>
      <c r="N199" s="34"/>
      <c r="O199" s="34"/>
    </row>
    <row r="200" ht="15.75" customHeight="1">
      <c r="A200" s="32"/>
      <c r="B200" s="32"/>
      <c r="C200" s="32"/>
      <c r="D200" s="32"/>
      <c r="E200" s="32"/>
      <c r="I200" s="34"/>
      <c r="J200" s="34"/>
      <c r="K200" s="34"/>
      <c r="L200" s="34"/>
      <c r="M200" s="34"/>
      <c r="N200" s="34"/>
      <c r="O200" s="34"/>
    </row>
    <row r="201" ht="15.75" customHeight="1">
      <c r="A201" s="32"/>
      <c r="B201" s="32"/>
      <c r="C201" s="32"/>
      <c r="D201" s="32"/>
      <c r="E201" s="32"/>
      <c r="I201" s="34"/>
      <c r="J201" s="34"/>
      <c r="K201" s="34"/>
      <c r="L201" s="34"/>
      <c r="M201" s="34"/>
      <c r="N201" s="34"/>
      <c r="O201" s="34"/>
    </row>
    <row r="202" ht="15.75" customHeight="1">
      <c r="A202" s="32"/>
      <c r="B202" s="32"/>
      <c r="C202" s="32"/>
      <c r="D202" s="32"/>
      <c r="E202" s="32"/>
      <c r="I202" s="34"/>
      <c r="J202" s="34"/>
      <c r="K202" s="34"/>
      <c r="L202" s="34"/>
      <c r="M202" s="34"/>
      <c r="N202" s="34"/>
      <c r="O202" s="34"/>
    </row>
    <row r="203" ht="15.75" customHeight="1">
      <c r="A203" s="32"/>
      <c r="B203" s="32"/>
      <c r="C203" s="32"/>
      <c r="D203" s="32"/>
      <c r="E203" s="32"/>
      <c r="I203" s="34"/>
      <c r="J203" s="34"/>
      <c r="K203" s="34"/>
      <c r="L203" s="34"/>
      <c r="M203" s="34"/>
      <c r="N203" s="34"/>
      <c r="O203" s="34"/>
    </row>
    <row r="204" ht="15.75" customHeight="1">
      <c r="A204" s="32"/>
      <c r="B204" s="32"/>
      <c r="C204" s="32"/>
      <c r="D204" s="32"/>
      <c r="E204" s="32"/>
      <c r="I204" s="34"/>
      <c r="J204" s="34"/>
      <c r="K204" s="34"/>
      <c r="L204" s="34"/>
      <c r="M204" s="34"/>
      <c r="N204" s="34"/>
      <c r="O204" s="34"/>
    </row>
    <row r="205" ht="15.75" customHeight="1">
      <c r="A205" s="32"/>
      <c r="B205" s="32"/>
      <c r="C205" s="32"/>
      <c r="D205" s="32"/>
      <c r="E205" s="32"/>
      <c r="I205" s="34"/>
      <c r="J205" s="34"/>
      <c r="K205" s="34"/>
      <c r="L205" s="34"/>
      <c r="M205" s="34"/>
      <c r="N205" s="34"/>
      <c r="O205" s="34"/>
    </row>
    <row r="206" ht="15.75" customHeight="1">
      <c r="A206" s="32"/>
      <c r="B206" s="32"/>
      <c r="C206" s="32"/>
      <c r="D206" s="32"/>
      <c r="E206" s="32"/>
      <c r="I206" s="34"/>
      <c r="J206" s="34"/>
      <c r="K206" s="34"/>
      <c r="L206" s="34"/>
      <c r="M206" s="34"/>
      <c r="N206" s="34"/>
      <c r="O206" s="34"/>
    </row>
    <row r="207" ht="15.75" customHeight="1">
      <c r="A207" s="32"/>
      <c r="B207" s="32"/>
      <c r="C207" s="32"/>
      <c r="D207" s="32"/>
      <c r="E207" s="32"/>
      <c r="I207" s="34"/>
      <c r="J207" s="34"/>
      <c r="K207" s="34"/>
      <c r="L207" s="34"/>
      <c r="M207" s="34"/>
      <c r="N207" s="34"/>
      <c r="O207" s="34"/>
    </row>
    <row r="208" ht="15.75" customHeight="1">
      <c r="A208" s="32"/>
      <c r="B208" s="32"/>
      <c r="C208" s="32"/>
      <c r="D208" s="32"/>
      <c r="E208" s="32"/>
      <c r="I208" s="34"/>
      <c r="J208" s="34"/>
      <c r="K208" s="34"/>
      <c r="L208" s="34"/>
      <c r="M208" s="34"/>
      <c r="N208" s="34"/>
      <c r="O208" s="34"/>
    </row>
    <row r="209" ht="15.75" customHeight="1">
      <c r="A209" s="32"/>
      <c r="B209" s="32"/>
      <c r="C209" s="32"/>
      <c r="D209" s="32"/>
      <c r="E209" s="32"/>
      <c r="I209" s="34"/>
      <c r="J209" s="34"/>
      <c r="K209" s="34"/>
      <c r="L209" s="34"/>
      <c r="M209" s="34"/>
      <c r="N209" s="34"/>
      <c r="O209" s="34"/>
    </row>
    <row r="210" ht="15.75" customHeight="1">
      <c r="A210" s="32"/>
      <c r="B210" s="32"/>
      <c r="C210" s="32"/>
      <c r="D210" s="32"/>
      <c r="E210" s="32"/>
      <c r="I210" s="34"/>
      <c r="J210" s="34"/>
      <c r="K210" s="34"/>
      <c r="L210" s="34"/>
      <c r="M210" s="34"/>
      <c r="N210" s="34"/>
      <c r="O210" s="34"/>
    </row>
    <row r="211" ht="15.75" customHeight="1">
      <c r="A211" s="32"/>
      <c r="B211" s="32"/>
      <c r="C211" s="32"/>
      <c r="D211" s="32"/>
      <c r="E211" s="32"/>
      <c r="I211" s="34"/>
      <c r="J211" s="34"/>
      <c r="K211" s="34"/>
      <c r="L211" s="34"/>
      <c r="M211" s="34"/>
      <c r="N211" s="34"/>
      <c r="O211" s="34"/>
    </row>
    <row r="212" ht="15.75" customHeight="1">
      <c r="A212" s="32"/>
      <c r="B212" s="32"/>
      <c r="C212" s="32"/>
      <c r="D212" s="32"/>
      <c r="E212" s="32"/>
      <c r="I212" s="34"/>
      <c r="J212" s="34"/>
      <c r="K212" s="34"/>
      <c r="L212" s="34"/>
      <c r="M212" s="34"/>
      <c r="N212" s="34"/>
      <c r="O212" s="34"/>
    </row>
    <row r="213" ht="15.75" customHeight="1">
      <c r="A213" s="32"/>
      <c r="B213" s="32"/>
      <c r="C213" s="32"/>
      <c r="D213" s="32"/>
      <c r="E213" s="32"/>
      <c r="I213" s="34"/>
      <c r="J213" s="34"/>
      <c r="K213" s="34"/>
      <c r="L213" s="34"/>
      <c r="M213" s="34"/>
      <c r="N213" s="34"/>
      <c r="O213" s="34"/>
    </row>
    <row r="214" ht="15.75" customHeight="1">
      <c r="A214" s="32"/>
      <c r="B214" s="32"/>
      <c r="C214" s="32"/>
      <c r="D214" s="32"/>
      <c r="E214" s="32"/>
      <c r="I214" s="34"/>
      <c r="J214" s="34"/>
      <c r="K214" s="34"/>
      <c r="L214" s="34"/>
      <c r="M214" s="34"/>
      <c r="N214" s="34"/>
      <c r="O214" s="34"/>
    </row>
    <row r="215" ht="15.75" customHeight="1">
      <c r="A215" s="32"/>
      <c r="B215" s="32"/>
      <c r="C215" s="32"/>
      <c r="D215" s="32"/>
      <c r="E215" s="32"/>
      <c r="I215" s="34"/>
      <c r="J215" s="34"/>
      <c r="K215" s="34"/>
      <c r="L215" s="34"/>
      <c r="M215" s="34"/>
      <c r="N215" s="34"/>
      <c r="O215" s="34"/>
    </row>
    <row r="216" ht="15.75" customHeight="1">
      <c r="A216" s="32"/>
      <c r="B216" s="32"/>
      <c r="C216" s="32"/>
      <c r="D216" s="32"/>
      <c r="E216" s="32"/>
      <c r="I216" s="34"/>
      <c r="J216" s="34"/>
      <c r="K216" s="34"/>
      <c r="L216" s="34"/>
      <c r="M216" s="34"/>
      <c r="N216" s="34"/>
      <c r="O216" s="34"/>
    </row>
    <row r="217" ht="15.75" customHeight="1">
      <c r="A217" s="32"/>
      <c r="B217" s="32"/>
      <c r="C217" s="32"/>
      <c r="D217" s="32"/>
      <c r="E217" s="32"/>
      <c r="I217" s="34"/>
      <c r="J217" s="34"/>
      <c r="K217" s="34"/>
      <c r="L217" s="34"/>
      <c r="M217" s="34"/>
      <c r="N217" s="34"/>
      <c r="O217" s="34"/>
    </row>
    <row r="218" ht="15.75" customHeight="1">
      <c r="A218" s="32"/>
      <c r="B218" s="32"/>
      <c r="C218" s="32"/>
      <c r="D218" s="32"/>
      <c r="E218" s="32"/>
      <c r="I218" s="34"/>
      <c r="J218" s="34"/>
      <c r="K218" s="34"/>
      <c r="L218" s="34"/>
      <c r="M218" s="34"/>
      <c r="N218" s="34"/>
      <c r="O218" s="34"/>
    </row>
    <row r="219" ht="15.75" customHeight="1">
      <c r="A219" s="32"/>
      <c r="B219" s="32"/>
      <c r="C219" s="32"/>
      <c r="D219" s="32"/>
      <c r="E219" s="32"/>
      <c r="I219" s="34"/>
      <c r="J219" s="34"/>
      <c r="K219" s="34"/>
      <c r="L219" s="34"/>
      <c r="M219" s="34"/>
      <c r="N219" s="34"/>
      <c r="O219" s="34"/>
    </row>
    <row r="220" ht="15.75" customHeight="1">
      <c r="A220" s="32"/>
      <c r="B220" s="32"/>
      <c r="C220" s="32"/>
      <c r="D220" s="32"/>
      <c r="E220" s="32"/>
      <c r="I220" s="34"/>
      <c r="J220" s="34"/>
      <c r="K220" s="34"/>
      <c r="L220" s="34"/>
      <c r="M220" s="34"/>
      <c r="N220" s="34"/>
      <c r="O220" s="34"/>
    </row>
    <row r="221" ht="15.75" customHeight="1">
      <c r="A221" s="32"/>
      <c r="B221" s="32"/>
      <c r="C221" s="32"/>
      <c r="D221" s="32"/>
      <c r="E221" s="32"/>
      <c r="I221" s="34"/>
      <c r="J221" s="34"/>
      <c r="K221" s="34"/>
      <c r="L221" s="34"/>
      <c r="M221" s="34"/>
      <c r="N221" s="34"/>
      <c r="O221" s="34"/>
    </row>
    <row r="222" ht="15.75" customHeight="1">
      <c r="A222" s="32"/>
      <c r="B222" s="32"/>
      <c r="C222" s="32"/>
      <c r="D222" s="32"/>
      <c r="E222" s="32"/>
      <c r="I222" s="34"/>
      <c r="J222" s="34"/>
      <c r="K222" s="34"/>
      <c r="L222" s="34"/>
      <c r="M222" s="34"/>
      <c r="N222" s="34"/>
      <c r="O222" s="34"/>
    </row>
    <row r="223" ht="15.75" customHeight="1">
      <c r="A223" s="32"/>
      <c r="B223" s="32"/>
      <c r="C223" s="32"/>
      <c r="D223" s="32"/>
      <c r="E223" s="32"/>
      <c r="I223" s="34"/>
      <c r="J223" s="34"/>
      <c r="K223" s="34"/>
      <c r="L223" s="34"/>
      <c r="M223" s="34"/>
      <c r="N223" s="34"/>
      <c r="O223" s="34"/>
    </row>
    <row r="224" ht="15.75" customHeight="1">
      <c r="A224" s="32"/>
      <c r="B224" s="32"/>
      <c r="C224" s="32"/>
      <c r="D224" s="32"/>
      <c r="E224" s="32"/>
      <c r="I224" s="34"/>
      <c r="J224" s="34"/>
      <c r="K224" s="34"/>
      <c r="L224" s="34"/>
      <c r="M224" s="34"/>
      <c r="N224" s="34"/>
      <c r="O224" s="34"/>
    </row>
    <row r="225" ht="15.75" customHeight="1">
      <c r="A225" s="32"/>
      <c r="B225" s="32"/>
      <c r="C225" s="32"/>
      <c r="D225" s="32"/>
      <c r="E225" s="32"/>
      <c r="I225" s="34"/>
      <c r="J225" s="34"/>
      <c r="K225" s="34"/>
      <c r="L225" s="34"/>
      <c r="M225" s="34"/>
      <c r="N225" s="34"/>
      <c r="O225" s="34"/>
    </row>
    <row r="226" ht="15.75" customHeight="1">
      <c r="A226" s="32"/>
      <c r="B226" s="32"/>
      <c r="C226" s="32"/>
      <c r="D226" s="32"/>
      <c r="E226" s="32"/>
      <c r="I226" s="34"/>
      <c r="J226" s="34"/>
      <c r="K226" s="34"/>
      <c r="L226" s="34"/>
      <c r="M226" s="34"/>
      <c r="N226" s="34"/>
      <c r="O226" s="34"/>
    </row>
    <row r="227" ht="15.75" customHeight="1">
      <c r="A227" s="32"/>
      <c r="B227" s="32"/>
      <c r="C227" s="32"/>
      <c r="D227" s="32"/>
      <c r="E227" s="32"/>
      <c r="I227" s="34"/>
      <c r="J227" s="34"/>
      <c r="K227" s="34"/>
      <c r="L227" s="34"/>
      <c r="M227" s="34"/>
      <c r="N227" s="34"/>
      <c r="O227" s="34"/>
    </row>
    <row r="228" ht="15.75" customHeight="1">
      <c r="A228" s="32"/>
      <c r="B228" s="32"/>
      <c r="C228" s="32"/>
      <c r="D228" s="32"/>
      <c r="E228" s="32"/>
      <c r="I228" s="34"/>
      <c r="J228" s="34"/>
      <c r="K228" s="34"/>
      <c r="L228" s="34"/>
      <c r="M228" s="34"/>
      <c r="N228" s="34"/>
      <c r="O228" s="34"/>
    </row>
    <row r="229" ht="15.75" customHeight="1">
      <c r="A229" s="32"/>
      <c r="B229" s="32"/>
      <c r="C229" s="32"/>
      <c r="D229" s="32"/>
      <c r="E229" s="32"/>
      <c r="I229" s="34"/>
      <c r="J229" s="34"/>
      <c r="K229" s="34"/>
      <c r="L229" s="34"/>
      <c r="M229" s="34"/>
      <c r="N229" s="34"/>
      <c r="O229" s="34"/>
    </row>
    <row r="230" ht="15.75" customHeight="1">
      <c r="A230" s="32"/>
      <c r="B230" s="32"/>
      <c r="C230" s="32"/>
      <c r="D230" s="32"/>
      <c r="E230" s="32"/>
      <c r="I230" s="34"/>
      <c r="J230" s="34"/>
      <c r="K230" s="34"/>
      <c r="L230" s="34"/>
      <c r="M230" s="34"/>
      <c r="N230" s="34"/>
      <c r="O230" s="34"/>
    </row>
    <row r="231" ht="15.75" customHeight="1">
      <c r="A231" s="32"/>
      <c r="B231" s="32"/>
      <c r="C231" s="32"/>
      <c r="D231" s="32"/>
      <c r="E231" s="32"/>
      <c r="I231" s="34"/>
      <c r="J231" s="34"/>
      <c r="K231" s="34"/>
      <c r="L231" s="34"/>
      <c r="M231" s="34"/>
      <c r="N231" s="34"/>
      <c r="O231" s="34"/>
    </row>
    <row r="232" ht="15.75" customHeight="1">
      <c r="A232" s="32"/>
      <c r="B232" s="32"/>
      <c r="C232" s="32"/>
      <c r="D232" s="32"/>
      <c r="E232" s="32"/>
      <c r="I232" s="34"/>
      <c r="J232" s="34"/>
      <c r="K232" s="34"/>
      <c r="L232" s="34"/>
      <c r="M232" s="34"/>
      <c r="N232" s="34"/>
      <c r="O232" s="34"/>
    </row>
    <row r="233" ht="15.75" customHeight="1">
      <c r="A233" s="32"/>
      <c r="B233" s="32"/>
      <c r="C233" s="32"/>
      <c r="D233" s="32"/>
      <c r="E233" s="32"/>
      <c r="I233" s="34"/>
      <c r="J233" s="34"/>
      <c r="K233" s="34"/>
      <c r="L233" s="34"/>
      <c r="M233" s="34"/>
      <c r="N233" s="34"/>
      <c r="O233" s="34"/>
    </row>
    <row r="234" ht="15.75" customHeight="1">
      <c r="A234" s="32"/>
      <c r="B234" s="32"/>
      <c r="C234" s="32"/>
      <c r="D234" s="32"/>
      <c r="E234" s="32"/>
      <c r="I234" s="34"/>
      <c r="J234" s="34"/>
      <c r="K234" s="34"/>
      <c r="L234" s="34"/>
      <c r="M234" s="34"/>
      <c r="N234" s="34"/>
      <c r="O234" s="34"/>
    </row>
    <row r="235" ht="15.75" customHeight="1">
      <c r="A235" s="32"/>
      <c r="B235" s="32"/>
      <c r="C235" s="32"/>
      <c r="D235" s="32"/>
      <c r="E235" s="32"/>
      <c r="I235" s="34"/>
      <c r="J235" s="34"/>
      <c r="K235" s="34"/>
      <c r="L235" s="34"/>
      <c r="M235" s="34"/>
      <c r="N235" s="34"/>
      <c r="O235" s="34"/>
    </row>
    <row r="236" ht="15.75" customHeight="1">
      <c r="A236" s="32"/>
      <c r="B236" s="32"/>
      <c r="C236" s="32"/>
      <c r="D236" s="32"/>
      <c r="E236" s="32"/>
      <c r="I236" s="34"/>
      <c r="J236" s="34"/>
      <c r="K236" s="34"/>
      <c r="L236" s="34"/>
      <c r="M236" s="34"/>
      <c r="N236" s="34"/>
      <c r="O236" s="34"/>
    </row>
    <row r="237" ht="15.75" customHeight="1">
      <c r="A237" s="32"/>
      <c r="B237" s="32"/>
      <c r="C237" s="32"/>
      <c r="D237" s="32"/>
      <c r="E237" s="32"/>
      <c r="I237" s="34"/>
      <c r="J237" s="34"/>
      <c r="K237" s="34"/>
      <c r="L237" s="34"/>
      <c r="M237" s="34"/>
      <c r="N237" s="34"/>
      <c r="O237" s="34"/>
    </row>
    <row r="238" ht="15.75" customHeight="1">
      <c r="A238" s="32"/>
      <c r="B238" s="32"/>
      <c r="C238" s="32"/>
      <c r="D238" s="32"/>
      <c r="E238" s="32"/>
      <c r="I238" s="34"/>
      <c r="J238" s="34"/>
      <c r="K238" s="34"/>
      <c r="L238" s="34"/>
      <c r="M238" s="34"/>
      <c r="N238" s="34"/>
      <c r="O238" s="34"/>
    </row>
    <row r="239" ht="15.75" customHeight="1">
      <c r="A239" s="32"/>
      <c r="B239" s="32"/>
      <c r="C239" s="32"/>
      <c r="D239" s="32"/>
      <c r="E239" s="32"/>
      <c r="I239" s="34"/>
      <c r="J239" s="34"/>
      <c r="K239" s="34"/>
      <c r="L239" s="34"/>
      <c r="M239" s="34"/>
      <c r="N239" s="34"/>
      <c r="O239" s="34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2025-10-11T18:18:16Z</dcterms:created>
  <dc:creator>mclarablopes@gmail.com</dc:creator>
</cp:coreProperties>
</file>